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f-moharami\Desktop\iPhone Sales Interactive Excel Dashboard\"/>
    </mc:Choice>
  </mc:AlternateContent>
  <xr:revisionPtr revIDLastSave="0" documentId="13_ncr:1_{5801B14A-7131-4675-A6BC-176D61BA1A95}" xr6:coauthVersionLast="47" xr6:coauthVersionMax="47" xr10:uidLastSave="{00000000-0000-0000-0000-000000000000}"/>
  <bookViews>
    <workbookView xWindow="-120" yWindow="-120" windowWidth="29040" windowHeight="15840" activeTab="2" xr2:uid="{00000000-000D-0000-FFFF-FFFF00000000}"/>
  </bookViews>
  <sheets>
    <sheet name="iphone_sales_dataset" sheetId="2" r:id="rId1"/>
    <sheet name="Pivot" sheetId="3" r:id="rId2"/>
    <sheet name="Dashbord" sheetId="4" r:id="rId3"/>
  </sheets>
  <definedNames>
    <definedName name="_xlcn.WorksheetConnection_ExcelDashbor.xlsxSalesData1" hidden="1">SalesData[]</definedName>
    <definedName name="_xlcn.WorksheetConnection_iphone_sales_datasetDD1" hidden="1">iphone_sales_dataset!$D:$D</definedName>
    <definedName name="ExternalData_1" localSheetId="0" hidden="1">iphone_sales_dataset!$A$1:$J$101</definedName>
    <definedName name="Slicer_Color">#N/A</definedName>
    <definedName name="Slicer_Country">#N/A</definedName>
    <definedName name="Slicer_iPhone_Model">#N/A</definedName>
    <definedName name="Slicer_Payment_Method">#N/A</definedName>
    <definedName name="Slicer_Storage">#N/A</definedName>
    <definedName name="Timeline_Sale_Date">#N/A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iphone_sales_dataset!$D:$D"/>
          <x15:modelTable id="SalesData" name="SalesData" connection="WorksheetConnection_Excel Dashbor.xlsx!SalesData"/>
        </x15:modelTables>
        <x15:extLst>
          <ext xmlns:x16="http://schemas.microsoft.com/office/spreadsheetml/2014/11/main" uri="{9835A34E-60A6-4A7C-AAB8-D5F71C897F49}">
            <x16:modelTimeGroupings>
              <x16:modelTimeGrouping tableName="SalesData" columnName="Sale_Date" columnId="Sale_Date">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R9" i="4"/>
  <c r="R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905E17-2B35-4B28-865B-D4DFAD134B68}" keepAlive="1" name="Query - iphone_sales_dataset" description="Connection to the 'iphone_sales_dataset' query in the workbook." type="5" refreshedVersion="7" background="1" saveData="1">
    <dbPr connection="Provider=Microsoft.Mashup.OleDb.1;Data Source=$Workbook$;Location=iphone_sales_dataset;Extended Properties=&quot;&quot;" command="SELECT * FROM [iphone_sales_dataset]"/>
  </connection>
  <connection id="2" xr16:uid="{0F13A07A-CD10-4B75-86CF-38F3C141ADF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D7387DD-379F-4D73-B834-72E565F6A9D9}" name="WorksheetConnection_Excel Dashbor.xlsx!SalesData" type="102" refreshedVersion="7" minRefreshableVersion="5">
    <extLst>
      <ext xmlns:x15="http://schemas.microsoft.com/office/spreadsheetml/2010/11/main" uri="{DE250136-89BD-433C-8126-D09CA5730AF9}">
        <x15:connection id="SalesData">
          <x15:rangePr sourceName="_xlcn.WorksheetConnection_ExcelDashbor.xlsxSalesData1"/>
        </x15:connection>
      </ext>
    </extLst>
  </connection>
  <connection id="4" xr16:uid="{3409B2E7-D90D-49F7-81F5-7B2CFB21FF7B}" name="WorksheetConnection_iphone_sales_dataset!$D:$D" type="102" refreshedVersion="7" minRefreshableVersion="5">
    <extLst>
      <ext xmlns:x15="http://schemas.microsoft.com/office/spreadsheetml/2010/11/main" uri="{DE250136-89BD-433C-8126-D09CA5730AF9}">
        <x15:connection id="Range" autoDelete="1">
          <x15:rangePr sourceName="_xlcn.WorksheetConnection_iphone_sales_datasetDD1"/>
        </x15:connection>
      </ext>
    </extLst>
  </connection>
</connections>
</file>

<file path=xl/sharedStrings.xml><?xml version="1.0" encoding="utf-8"?>
<sst xmlns="http://schemas.openxmlformats.org/spreadsheetml/2006/main" count="648" uniqueCount="146">
  <si>
    <t>Order_ID</t>
  </si>
  <si>
    <t>Customer_Name</t>
  </si>
  <si>
    <t>Country</t>
  </si>
  <si>
    <t>iPhone_Model</t>
  </si>
  <si>
    <t>Storage</t>
  </si>
  <si>
    <t>Color</t>
  </si>
  <si>
    <t>Quantity</t>
  </si>
  <si>
    <t>Price</t>
  </si>
  <si>
    <t>Sale_Date</t>
  </si>
  <si>
    <t>Payment_Method</t>
  </si>
  <si>
    <t>Customer_1</t>
  </si>
  <si>
    <t>USA</t>
  </si>
  <si>
    <t>iPhone 13</t>
  </si>
  <si>
    <t>256GB</t>
  </si>
  <si>
    <t>Purple</t>
  </si>
  <si>
    <t>Debit Card</t>
  </si>
  <si>
    <t>Customer_2</t>
  </si>
  <si>
    <t>Canada</t>
  </si>
  <si>
    <t>iPhone 12</t>
  </si>
  <si>
    <t>Blue</t>
  </si>
  <si>
    <t>PayPal</t>
  </si>
  <si>
    <t>Customer_3</t>
  </si>
  <si>
    <t>iPhone 15 Pro Max</t>
  </si>
  <si>
    <t>512GB</t>
  </si>
  <si>
    <t>Black</t>
  </si>
  <si>
    <t>Credit Card</t>
  </si>
  <si>
    <t>Customer_4</t>
  </si>
  <si>
    <t>Customer_5</t>
  </si>
  <si>
    <t>iPhone 15</t>
  </si>
  <si>
    <t>128GB</t>
  </si>
  <si>
    <t>Customer_6</t>
  </si>
  <si>
    <t>UAE</t>
  </si>
  <si>
    <t>iPhone 14 Pro</t>
  </si>
  <si>
    <t>Red</t>
  </si>
  <si>
    <t>Customer_7</t>
  </si>
  <si>
    <t>Germany</t>
  </si>
  <si>
    <t>Customer_8</t>
  </si>
  <si>
    <t>UK</t>
  </si>
  <si>
    <t>Customer_9</t>
  </si>
  <si>
    <t>Customer_10</t>
  </si>
  <si>
    <t>Pakistan</t>
  </si>
  <si>
    <t>Customer_11</t>
  </si>
  <si>
    <t>White</t>
  </si>
  <si>
    <t>Customer_12</t>
  </si>
  <si>
    <t>iPhone 14</t>
  </si>
  <si>
    <t>Cash</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</si>
  <si>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</si>
  <si>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</si>
  <si>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</si>
  <si>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</si>
  <si>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</si>
  <si>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</si>
  <si>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</si>
  <si>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</si>
  <si>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</si>
  <si>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</si>
  <si>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</si>
  <si>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</si>
  <si>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</si>
  <si>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</si>
  <si>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</si>
  <si>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</si>
  <si>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</si>
  <si>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</si>
  <si>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</si>
  <si>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</si>
  <si>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</si>
  <si>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</si>
  <si>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</si>
  <si>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</si>
  <si>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</si>
  <si>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</si>
  <si>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</si>
  <si>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</si>
  <si>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</si>
  <si>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</si>
  <si>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</si>
  <si>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</si>
  <si>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</si>
  <si>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</si>
  <si>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</si>
  <si>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</si>
  <si>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</si>
  <si>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</si>
  <si>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</si>
  <si>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</si>
  <si>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</si>
  <si>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</si>
  <si>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</si>
  <si>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</si>
  <si>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</si>
  <si>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</si>
  <si>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</si>
  <si>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</si>
  <si>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</si>
  <si>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</si>
  <si>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</si>
  <si>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</si>
  <si>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</si>
  <si>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</si>
  <si>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</si>
  <si>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</si>
  <si>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</si>
  <si>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</si>
  <si>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</si>
  <si>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</si>
  <si>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</si>
  <si>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</si>
  <si>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</si>
  <si>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</si>
  <si>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</si>
  <si>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</si>
  <si>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</si>
  <si>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</si>
  <si>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</si>
  <si>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</si>
  <si>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</si>
  <si>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</si>
  <si>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</si>
  <si>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</si>
  <si>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</si>
  <si>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</si>
  <si>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</si>
  <si>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</si>
  <si>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</si>
  <si>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</si>
  <si>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</si>
  <si>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</si>
  <si>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</si>
  <si>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</si>
  <si>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</si>
  <si>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</si>
  <si>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</si>
  <si>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</si>
  <si>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Revenue</t>
  </si>
  <si>
    <t>Sum of Revenue</t>
  </si>
  <si>
    <t>Row Labels</t>
  </si>
  <si>
    <t>Grand Total</t>
  </si>
  <si>
    <t>Jan</t>
  </si>
  <si>
    <t>Feb</t>
  </si>
  <si>
    <t>Mar</t>
  </si>
  <si>
    <t>Apr</t>
  </si>
  <si>
    <t>May</t>
  </si>
  <si>
    <t>Sum of Quantity</t>
  </si>
  <si>
    <t>Total Revenue:</t>
  </si>
  <si>
    <t>Total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</si>
</sst>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NumberFormat="1" applyAlignment="1">
      <alignment horizontal="center"/>
    </xf>
    <xf numFmtId="14" fontId="0" fillId="0" borderId="0" xfId="0" applyNumberFormat="1" applyAlignment="1">
      <alignment horizontal="center"/>
    </xf>
    <xf numFmtId="0" fontId="0" fillId="0" borderId="0" xfId="0" pivotButton="1" applyAlignment="1">
      <alignment horizontal="center"/>
    </xf>
    <xf numFmtId="0" fontId="0" fillId="0" borderId="0" xfId="0"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4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7.xml"/><Relationship Id="rId23" Type="http://schemas.openxmlformats.org/officeDocument/2006/relationships/customXml" Target="../customXml/item1.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Pivot!$A$4:$A$10</c:f>
              <c:strCache>
                <c:ptCount val="6"/>
                <c:pt idx="0">
                  <c:v>iPhone 12</c:v>
                </c:pt>
                <c:pt idx="1">
                  <c:v>iPhone 13</c:v>
                </c:pt>
                <c:pt idx="2">
                  <c:v>iPhone 14</c:v>
                </c:pt>
                <c:pt idx="3">
                  <c:v>iPhone 14 Pro</c:v>
                </c:pt>
                <c:pt idx="4">
                  <c:v>iPhone 15</c:v>
                </c:pt>
                <c:pt idx="5">
                  <c:v>iPhone 15 Pro Max</c:v>
                </c:pt>
              </c:strCache>
            </c:strRef>
          </c:cat>
          <c:val>
            <c:numRef>
              <c:f>Pivot!$B$4:$B$10</c:f>
              <c:numCache>
                <c:formatCode>General</c:formatCode>
                <c:ptCount val="6"/>
                <c:pt idx="0">
                  <c:v>63491</c:v>
                </c:pt>
                <c:pt idx="1">
                  <c:v>90268</c:v>
                </c:pt>
                <c:pt idx="2">
                  <c:v>54185</c:v>
                </c:pt>
                <c:pt idx="3">
                  <c:v>105490</c:v>
                </c:pt>
                <c:pt idx="4">
                  <c:v>79943</c:v>
                </c:pt>
                <c:pt idx="5">
                  <c:v>101076</c:v>
                </c:pt>
              </c:numCache>
            </c:numRef>
          </c:val>
          <c:extLst>
            <c:ext xmlns:c16="http://schemas.microsoft.com/office/drawing/2014/chart" uri="{C3380CC4-5D6E-409C-BE32-E72D297353CC}">
              <c16:uniqueId val="{00000000-8523-449B-843C-F658BCC6358F}"/>
            </c:ext>
          </c:extLst>
        </c:ser>
        <c:dLbls>
          <c:showLegendKey val="0"/>
          <c:showVal val="0"/>
          <c:showCatName val="0"/>
          <c:showSerName val="0"/>
          <c:showPercent val="0"/>
          <c:showBubbleSize val="0"/>
        </c:dLbls>
        <c:gapWidth val="182"/>
        <c:axId val="1782342928"/>
        <c:axId val="1782345008"/>
      </c:barChart>
      <c:catAx>
        <c:axId val="17823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345008"/>
        <c:crosses val="autoZero"/>
        <c:auto val="1"/>
        <c:lblAlgn val="ctr"/>
        <c:lblOffset val="100"/>
        <c:noMultiLvlLbl val="0"/>
      </c:catAx>
      <c:valAx>
        <c:axId val="178234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3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cat>
            <c:strRef>
              <c:f>Pivot!$A$15:$A$21</c:f>
              <c:strCache>
                <c:ptCount val="6"/>
                <c:pt idx="0">
                  <c:v>Canada</c:v>
                </c:pt>
                <c:pt idx="1">
                  <c:v>Germany</c:v>
                </c:pt>
                <c:pt idx="2">
                  <c:v>Pakistan</c:v>
                </c:pt>
                <c:pt idx="3">
                  <c:v>UAE</c:v>
                </c:pt>
                <c:pt idx="4">
                  <c:v>UK</c:v>
                </c:pt>
                <c:pt idx="5">
                  <c:v>USA</c:v>
                </c:pt>
              </c:strCache>
            </c:strRef>
          </c:cat>
          <c:val>
            <c:numRef>
              <c:f>Pivot!$B$15:$B$21</c:f>
              <c:numCache>
                <c:formatCode>General</c:formatCode>
                <c:ptCount val="6"/>
                <c:pt idx="0">
                  <c:v>84091</c:v>
                </c:pt>
                <c:pt idx="1">
                  <c:v>53334</c:v>
                </c:pt>
                <c:pt idx="2">
                  <c:v>46610</c:v>
                </c:pt>
                <c:pt idx="3">
                  <c:v>77898</c:v>
                </c:pt>
                <c:pt idx="4">
                  <c:v>117705</c:v>
                </c:pt>
                <c:pt idx="5">
                  <c:v>114815</c:v>
                </c:pt>
              </c:numCache>
            </c:numRef>
          </c:val>
          <c:extLst>
            <c:ext xmlns:c16="http://schemas.microsoft.com/office/drawing/2014/chart" uri="{C3380CC4-5D6E-409C-BE32-E72D297353CC}">
              <c16:uniqueId val="{00000000-EC88-49A2-AA37-46CD7598F927}"/>
            </c:ext>
          </c:extLst>
        </c:ser>
        <c:dLbls>
          <c:showLegendKey val="0"/>
          <c:showVal val="0"/>
          <c:showCatName val="0"/>
          <c:showSerName val="0"/>
          <c:showPercent val="0"/>
          <c:showBubbleSize val="0"/>
        </c:dLbls>
        <c:gapWidth val="219"/>
        <c:overlap val="-27"/>
        <c:axId val="1925170720"/>
        <c:axId val="1925165728"/>
      </c:barChart>
      <c:catAx>
        <c:axId val="1925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65728"/>
        <c:crosses val="autoZero"/>
        <c:auto val="1"/>
        <c:lblAlgn val="ctr"/>
        <c:lblOffset val="100"/>
        <c:noMultiLvlLbl val="0"/>
      </c:catAx>
      <c:valAx>
        <c:axId val="192516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7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c:v>
                </c:pt>
              </c:strCache>
            </c:strRef>
          </c:tx>
          <c:spPr>
            <a:ln w="28575" cap="rnd">
              <a:solidFill>
                <a:schemeClr val="accent1"/>
              </a:solidFill>
              <a:round/>
            </a:ln>
            <a:effectLst/>
          </c:spPr>
          <c:marker>
            <c:symbol val="none"/>
          </c:marker>
          <c:cat>
            <c:strRef>
              <c:f>Pivot!$A$26:$A$31</c:f>
              <c:strCache>
                <c:ptCount val="5"/>
                <c:pt idx="0">
                  <c:v>Jan</c:v>
                </c:pt>
                <c:pt idx="1">
                  <c:v>Feb</c:v>
                </c:pt>
                <c:pt idx="2">
                  <c:v>Mar</c:v>
                </c:pt>
                <c:pt idx="3">
                  <c:v>Apr</c:v>
                </c:pt>
                <c:pt idx="4">
                  <c:v>May</c:v>
                </c:pt>
              </c:strCache>
            </c:strRef>
          </c:cat>
          <c:val>
            <c:numRef>
              <c:f>Pivot!$B$26:$B$31</c:f>
              <c:numCache>
                <c:formatCode>General</c:formatCode>
                <c:ptCount val="5"/>
                <c:pt idx="0">
                  <c:v>160408</c:v>
                </c:pt>
                <c:pt idx="1">
                  <c:v>103194</c:v>
                </c:pt>
                <c:pt idx="2">
                  <c:v>116740</c:v>
                </c:pt>
                <c:pt idx="3">
                  <c:v>99945</c:v>
                </c:pt>
                <c:pt idx="4">
                  <c:v>14166</c:v>
                </c:pt>
              </c:numCache>
            </c:numRef>
          </c:val>
          <c:smooth val="0"/>
          <c:extLst>
            <c:ext xmlns:c16="http://schemas.microsoft.com/office/drawing/2014/chart" uri="{C3380CC4-5D6E-409C-BE32-E72D297353CC}">
              <c16:uniqueId val="{00000000-2559-424A-BA1A-0A016AB9F3E6}"/>
            </c:ext>
          </c:extLst>
        </c:ser>
        <c:dLbls>
          <c:showLegendKey val="0"/>
          <c:showVal val="0"/>
          <c:showCatName val="0"/>
          <c:showSerName val="0"/>
          <c:showPercent val="0"/>
          <c:showBubbleSize val="0"/>
        </c:dLbls>
        <c:smooth val="0"/>
        <c:axId val="1925176128"/>
        <c:axId val="1925161568"/>
      </c:lineChart>
      <c:catAx>
        <c:axId val="19251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61568"/>
        <c:crosses val="autoZero"/>
        <c:auto val="1"/>
        <c:lblAlgn val="ctr"/>
        <c:lblOffset val="100"/>
        <c:noMultiLvlLbl val="0"/>
      </c:catAx>
      <c:valAx>
        <c:axId val="192516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7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AE-4D7F-AE7F-3BAF96716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AE-4D7F-AE7F-3BAF96716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AE-4D7F-AE7F-3BAF96716C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AE-4D7F-AE7F-3BAF96716C75}"/>
              </c:ext>
            </c:extLst>
          </c:dPt>
          <c:cat>
            <c:strRef>
              <c:f>Pivot!$F$4:$F$8</c:f>
              <c:strCache>
                <c:ptCount val="4"/>
                <c:pt idx="0">
                  <c:v>Cash</c:v>
                </c:pt>
                <c:pt idx="1">
                  <c:v>Credit Card</c:v>
                </c:pt>
                <c:pt idx="2">
                  <c:v>Debit Card</c:v>
                </c:pt>
                <c:pt idx="3">
                  <c:v>PayPal</c:v>
                </c:pt>
              </c:strCache>
            </c:strRef>
          </c:cat>
          <c:val>
            <c:numRef>
              <c:f>Pivot!$G$4:$G$8</c:f>
              <c:numCache>
                <c:formatCode>General</c:formatCode>
                <c:ptCount val="4"/>
                <c:pt idx="0">
                  <c:v>69</c:v>
                </c:pt>
                <c:pt idx="1">
                  <c:v>76</c:v>
                </c:pt>
                <c:pt idx="2">
                  <c:v>133</c:v>
                </c:pt>
                <c:pt idx="3">
                  <c:v>55</c:v>
                </c:pt>
              </c:numCache>
            </c:numRef>
          </c:val>
          <c:extLst>
            <c:ext xmlns:c16="http://schemas.microsoft.com/office/drawing/2014/chart" uri="{C3380CC4-5D6E-409C-BE32-E72D297353CC}">
              <c16:uniqueId val="{00000000-6D4A-43F3-83AD-6264F78CD7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cat>
            <c:strRef>
              <c:f>Pivot!$A$15:$A$21</c:f>
              <c:strCache>
                <c:ptCount val="6"/>
                <c:pt idx="0">
                  <c:v>Canada</c:v>
                </c:pt>
                <c:pt idx="1">
                  <c:v>Germany</c:v>
                </c:pt>
                <c:pt idx="2">
                  <c:v>Pakistan</c:v>
                </c:pt>
                <c:pt idx="3">
                  <c:v>UAE</c:v>
                </c:pt>
                <c:pt idx="4">
                  <c:v>UK</c:v>
                </c:pt>
                <c:pt idx="5">
                  <c:v>USA</c:v>
                </c:pt>
              </c:strCache>
            </c:strRef>
          </c:cat>
          <c:val>
            <c:numRef>
              <c:f>Pivot!$B$15:$B$21</c:f>
              <c:numCache>
                <c:formatCode>General</c:formatCode>
                <c:ptCount val="6"/>
                <c:pt idx="0">
                  <c:v>84091</c:v>
                </c:pt>
                <c:pt idx="1">
                  <c:v>53334</c:v>
                </c:pt>
                <c:pt idx="2">
                  <c:v>46610</c:v>
                </c:pt>
                <c:pt idx="3">
                  <c:v>77898</c:v>
                </c:pt>
                <c:pt idx="4">
                  <c:v>117705</c:v>
                </c:pt>
                <c:pt idx="5">
                  <c:v>114815</c:v>
                </c:pt>
              </c:numCache>
            </c:numRef>
          </c:val>
          <c:extLst>
            <c:ext xmlns:c16="http://schemas.microsoft.com/office/drawing/2014/chart" uri="{C3380CC4-5D6E-409C-BE32-E72D297353CC}">
              <c16:uniqueId val="{00000000-33FE-4D4A-9ED9-7428425E7931}"/>
            </c:ext>
          </c:extLst>
        </c:ser>
        <c:dLbls>
          <c:showLegendKey val="0"/>
          <c:showVal val="0"/>
          <c:showCatName val="0"/>
          <c:showSerName val="0"/>
          <c:showPercent val="0"/>
          <c:showBubbleSize val="0"/>
        </c:dLbls>
        <c:gapWidth val="219"/>
        <c:overlap val="-27"/>
        <c:axId val="1925170720"/>
        <c:axId val="1925165728"/>
      </c:barChart>
      <c:catAx>
        <c:axId val="1925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65728"/>
        <c:crosses val="autoZero"/>
        <c:auto val="1"/>
        <c:lblAlgn val="ctr"/>
        <c:lblOffset val="100"/>
        <c:noMultiLvlLbl val="0"/>
      </c:catAx>
      <c:valAx>
        <c:axId val="192516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7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8C-44AF-89F0-E198D5C564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8C-44AF-89F0-E198D5C564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8C-44AF-89F0-E198D5C564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8C-44AF-89F0-E198D5C564D6}"/>
              </c:ext>
            </c:extLst>
          </c:dPt>
          <c:cat>
            <c:strRef>
              <c:f>Pivot!$F$4:$F$8</c:f>
              <c:strCache>
                <c:ptCount val="4"/>
                <c:pt idx="0">
                  <c:v>Cash</c:v>
                </c:pt>
                <c:pt idx="1">
                  <c:v>Credit Card</c:v>
                </c:pt>
                <c:pt idx="2">
                  <c:v>Debit Card</c:v>
                </c:pt>
                <c:pt idx="3">
                  <c:v>PayPal</c:v>
                </c:pt>
              </c:strCache>
            </c:strRef>
          </c:cat>
          <c:val>
            <c:numRef>
              <c:f>Pivot!$G$4:$G$8</c:f>
              <c:numCache>
                <c:formatCode>General</c:formatCode>
                <c:ptCount val="4"/>
                <c:pt idx="0">
                  <c:v>69</c:v>
                </c:pt>
                <c:pt idx="1">
                  <c:v>76</c:v>
                </c:pt>
                <c:pt idx="2">
                  <c:v>133</c:v>
                </c:pt>
                <c:pt idx="3">
                  <c:v>55</c:v>
                </c:pt>
              </c:numCache>
            </c:numRef>
          </c:val>
          <c:extLst>
            <c:ext xmlns:c16="http://schemas.microsoft.com/office/drawing/2014/chart" uri="{C3380CC4-5D6E-409C-BE32-E72D297353CC}">
              <c16:uniqueId val="{00000008-A88C-44AF-89F0-E198D5C564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c:v>
                </c:pt>
              </c:strCache>
            </c:strRef>
          </c:tx>
          <c:spPr>
            <a:ln w="28575" cap="rnd">
              <a:solidFill>
                <a:schemeClr val="accent1"/>
              </a:solidFill>
              <a:round/>
            </a:ln>
            <a:effectLst/>
          </c:spPr>
          <c:marker>
            <c:symbol val="none"/>
          </c:marker>
          <c:cat>
            <c:strRef>
              <c:f>Pivot!$A$26:$A$31</c:f>
              <c:strCache>
                <c:ptCount val="5"/>
                <c:pt idx="0">
                  <c:v>Jan</c:v>
                </c:pt>
                <c:pt idx="1">
                  <c:v>Feb</c:v>
                </c:pt>
                <c:pt idx="2">
                  <c:v>Mar</c:v>
                </c:pt>
                <c:pt idx="3">
                  <c:v>Apr</c:v>
                </c:pt>
                <c:pt idx="4">
                  <c:v>May</c:v>
                </c:pt>
              </c:strCache>
            </c:strRef>
          </c:cat>
          <c:val>
            <c:numRef>
              <c:f>Pivot!$B$26:$B$31</c:f>
              <c:numCache>
                <c:formatCode>General</c:formatCode>
                <c:ptCount val="5"/>
                <c:pt idx="0">
                  <c:v>160408</c:v>
                </c:pt>
                <c:pt idx="1">
                  <c:v>103194</c:v>
                </c:pt>
                <c:pt idx="2">
                  <c:v>116740</c:v>
                </c:pt>
                <c:pt idx="3">
                  <c:v>99945</c:v>
                </c:pt>
                <c:pt idx="4">
                  <c:v>14166</c:v>
                </c:pt>
              </c:numCache>
            </c:numRef>
          </c:val>
          <c:smooth val="0"/>
          <c:extLst>
            <c:ext xmlns:c16="http://schemas.microsoft.com/office/drawing/2014/chart" uri="{C3380CC4-5D6E-409C-BE32-E72D297353CC}">
              <c16:uniqueId val="{00000000-CC19-40F1-B07C-A11F077D657C}"/>
            </c:ext>
          </c:extLst>
        </c:ser>
        <c:dLbls>
          <c:showLegendKey val="0"/>
          <c:showVal val="0"/>
          <c:showCatName val="0"/>
          <c:showSerName val="0"/>
          <c:showPercent val="0"/>
          <c:showBubbleSize val="0"/>
        </c:dLbls>
        <c:smooth val="0"/>
        <c:axId val="1925176128"/>
        <c:axId val="1925161568"/>
      </c:lineChart>
      <c:catAx>
        <c:axId val="19251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61568"/>
        <c:crosses val="autoZero"/>
        <c:auto val="1"/>
        <c:lblAlgn val="ctr"/>
        <c:lblOffset val="100"/>
        <c:noMultiLvlLbl val="0"/>
      </c:catAx>
      <c:valAx>
        <c:axId val="192516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7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Dashbor.xlsx]Pivot!PivotTable2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Pivot!$A$4:$A$10</c:f>
              <c:strCache>
                <c:ptCount val="6"/>
                <c:pt idx="0">
                  <c:v>iPhone 12</c:v>
                </c:pt>
                <c:pt idx="1">
                  <c:v>iPhone 13</c:v>
                </c:pt>
                <c:pt idx="2">
                  <c:v>iPhone 14</c:v>
                </c:pt>
                <c:pt idx="3">
                  <c:v>iPhone 14 Pro</c:v>
                </c:pt>
                <c:pt idx="4">
                  <c:v>iPhone 15</c:v>
                </c:pt>
                <c:pt idx="5">
                  <c:v>iPhone 15 Pro Max</c:v>
                </c:pt>
              </c:strCache>
            </c:strRef>
          </c:cat>
          <c:val>
            <c:numRef>
              <c:f>Pivot!$B$4:$B$10</c:f>
              <c:numCache>
                <c:formatCode>General</c:formatCode>
                <c:ptCount val="6"/>
                <c:pt idx="0">
                  <c:v>63491</c:v>
                </c:pt>
                <c:pt idx="1">
                  <c:v>90268</c:v>
                </c:pt>
                <c:pt idx="2">
                  <c:v>54185</c:v>
                </c:pt>
                <c:pt idx="3">
                  <c:v>105490</c:v>
                </c:pt>
                <c:pt idx="4">
                  <c:v>79943</c:v>
                </c:pt>
                <c:pt idx="5">
                  <c:v>101076</c:v>
                </c:pt>
              </c:numCache>
            </c:numRef>
          </c:val>
          <c:extLst>
            <c:ext xmlns:c16="http://schemas.microsoft.com/office/drawing/2014/chart" uri="{C3380CC4-5D6E-409C-BE32-E72D297353CC}">
              <c16:uniqueId val="{00000000-2DF1-4C53-8DB5-30BCBE92A720}"/>
            </c:ext>
          </c:extLst>
        </c:ser>
        <c:dLbls>
          <c:showLegendKey val="0"/>
          <c:showVal val="0"/>
          <c:showCatName val="0"/>
          <c:showSerName val="0"/>
          <c:showPercent val="0"/>
          <c:showBubbleSize val="0"/>
        </c:dLbls>
        <c:gapWidth val="182"/>
        <c:axId val="1782342928"/>
        <c:axId val="1782345008"/>
      </c:barChart>
      <c:catAx>
        <c:axId val="17823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345008"/>
        <c:crosses val="autoZero"/>
        <c:auto val="1"/>
        <c:lblAlgn val="ctr"/>
        <c:lblOffset val="100"/>
        <c:noMultiLvlLbl val="0"/>
      </c:catAx>
      <c:valAx>
        <c:axId val="178234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3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534520</xdr:colOff>
      <xdr:row>1</xdr:row>
      <xdr:rowOff>40621</xdr:rowOff>
    </xdr:from>
    <xdr:to>
      <xdr:col>15</xdr:col>
      <xdr:colOff>229721</xdr:colOff>
      <xdr:row>15</xdr:row>
      <xdr:rowOff>116821</xdr:rowOff>
    </xdr:to>
    <xdr:graphicFrame macro="">
      <xdr:nvGraphicFramePr>
        <xdr:cNvPr id="2" name="Chart 1">
          <a:extLst>
            <a:ext uri="{FF2B5EF4-FFF2-40B4-BE49-F238E27FC236}">
              <a16:creationId xmlns:a16="http://schemas.microsoft.com/office/drawing/2014/main" id="{84BFDEF0-5BD4-4F3C-9F30-D74357797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515470</xdr:colOff>
      <xdr:row>17</xdr:row>
      <xdr:rowOff>101693</xdr:rowOff>
    </xdr:from>
    <xdr:to>
      <xdr:col>15</xdr:col>
      <xdr:colOff>215153</xdr:colOff>
      <xdr:row>31</xdr:row>
      <xdr:rowOff>177893</xdr:rowOff>
    </xdr:to>
    <xdr:graphicFrame macro="">
      <xdr:nvGraphicFramePr>
        <xdr:cNvPr id="3" name="Chart 2">
          <a:extLst>
            <a:ext uri="{FF2B5EF4-FFF2-40B4-BE49-F238E27FC236}">
              <a16:creationId xmlns:a16="http://schemas.microsoft.com/office/drawing/2014/main" id="{132F220C-7E90-4903-8CE0-C80D8C982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119343</xdr:colOff>
      <xdr:row>1</xdr:row>
      <xdr:rowOff>21571</xdr:rowOff>
    </xdr:from>
    <xdr:to>
      <xdr:col>23</xdr:col>
      <xdr:colOff>443753</xdr:colOff>
      <xdr:row>15</xdr:row>
      <xdr:rowOff>97771</xdr:rowOff>
    </xdr:to>
    <xdr:graphicFrame macro="">
      <xdr:nvGraphicFramePr>
        <xdr:cNvPr id="5" name="Chart 4">
          <a:extLst>
            <a:ext uri="{FF2B5EF4-FFF2-40B4-BE49-F238E27FC236}">
              <a16:creationId xmlns:a16="http://schemas.microsoft.com/office/drawing/2014/main" id="{5F3F81AE-2FC9-4D69-AC5A-000772CF2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252132</xdr:colOff>
      <xdr:row>17</xdr:row>
      <xdr:rowOff>146796</xdr:rowOff>
    </xdr:from>
    <xdr:to>
      <xdr:col>23</xdr:col>
      <xdr:colOff>588309</xdr:colOff>
      <xdr:row>32</xdr:row>
      <xdr:rowOff>32496</xdr:rowOff>
    </xdr:to>
    <xdr:graphicFrame macro="">
      <xdr:nvGraphicFramePr>
        <xdr:cNvPr id="6" name="Chart 5">
          <a:extLst>
            <a:ext uri="{FF2B5EF4-FFF2-40B4-BE49-F238E27FC236}">
              <a16:creationId xmlns:a16="http://schemas.microsoft.com/office/drawing/2014/main" id="{DD66A7FB-B84A-4399-9E5E-7D7A996FB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890307</xdr:colOff>
      <xdr:row>32</xdr:row>
      <xdr:rowOff>157442</xdr:rowOff>
    </xdr:from>
    <xdr:to>
      <xdr:col>3</xdr:col>
      <xdr:colOff>2240</xdr:colOff>
      <xdr:row>46</xdr:row>
      <xdr:rowOff>14567</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7C747346-ABF9-4015-8103-A8BED4584C3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90307" y="6253442"/>
              <a:ext cx="18237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305922</xdr:colOff>
      <xdr:row>33</xdr:row>
      <xdr:rowOff>6163</xdr:rowOff>
    </xdr:from>
    <xdr:to>
      <xdr:col>5</xdr:col>
      <xdr:colOff>911040</xdr:colOff>
      <xdr:row>46</xdr:row>
      <xdr:rowOff>53788</xdr:rowOff>
    </xdr:to>
    <mc:AlternateContent xmlns:mc="http://schemas.openxmlformats.org/markup-compatibility/2006" xmlns:a14="http://schemas.microsoft.com/office/drawing/2010/main">
      <mc:Choice Requires="a14">
        <xdr:graphicFrame macro="">
          <xdr:nvGraphicFramePr>
            <xdr:cNvPr id="7" name="iPhone_Model">
              <a:extLst>
                <a:ext uri="{FF2B5EF4-FFF2-40B4-BE49-F238E27FC236}">
                  <a16:creationId xmlns:a16="http://schemas.microsoft.com/office/drawing/2014/main" id="{604096B8-4283-4861-89EB-FBC7AFCBF90B}"/>
                </a:ext>
              </a:extLst>
            </xdr:cNvPr>
            <xdr:cNvGraphicFramePr/>
          </xdr:nvGraphicFramePr>
          <xdr:xfrm>
            <a:off x="0" y="0"/>
            <a:ext cx="0" cy="0"/>
          </xdr:xfrm>
          <a:graphic>
            <a:graphicData uri="http://schemas.microsoft.com/office/drawing/2010/slicer">
              <sle:slicer xmlns:sle="http://schemas.microsoft.com/office/drawing/2010/slicer" name="iPhone_Model"/>
            </a:graphicData>
          </a:graphic>
        </xdr:graphicFrame>
      </mc:Choice>
      <mc:Fallback xmlns="">
        <xdr:sp macro="" textlink="">
          <xdr:nvSpPr>
            <xdr:cNvPr id="0" name=""/>
            <xdr:cNvSpPr>
              <a:spLocks noTextEdit="1"/>
            </xdr:cNvSpPr>
          </xdr:nvSpPr>
          <xdr:spPr>
            <a:xfrm>
              <a:off x="3017746" y="6292663"/>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105336</xdr:colOff>
      <xdr:row>32</xdr:row>
      <xdr:rowOff>112619</xdr:rowOff>
    </xdr:from>
    <xdr:to>
      <xdr:col>16</xdr:col>
      <xdr:colOff>105335</xdr:colOff>
      <xdr:row>45</xdr:row>
      <xdr:rowOff>160244</xdr:rowOff>
    </xdr:to>
    <mc:AlternateContent xmlns:mc="http://schemas.openxmlformats.org/markup-compatibility/2006" xmlns:a14="http://schemas.microsoft.com/office/drawing/2010/main">
      <mc:Choice Requires="a14">
        <xdr:graphicFrame macro="">
          <xdr:nvGraphicFramePr>
            <xdr:cNvPr id="8" name="Storage">
              <a:extLst>
                <a:ext uri="{FF2B5EF4-FFF2-40B4-BE49-F238E27FC236}">
                  <a16:creationId xmlns:a16="http://schemas.microsoft.com/office/drawing/2014/main" id="{E39C31B9-C0F6-482D-9E2B-517F933D246C}"/>
                </a:ext>
              </a:extLst>
            </xdr:cNvPr>
            <xdr:cNvGraphicFramePr/>
          </xdr:nvGraphicFramePr>
          <xdr:xfrm>
            <a:off x="0" y="0"/>
            <a:ext cx="0" cy="0"/>
          </xdr:xfrm>
          <a:graphic>
            <a:graphicData uri="http://schemas.microsoft.com/office/drawing/2010/slicer">
              <sle:slicer xmlns:sle="http://schemas.microsoft.com/office/drawing/2010/slicer" name="Storage"/>
            </a:graphicData>
          </a:graphic>
        </xdr:graphicFrame>
      </mc:Choice>
      <mc:Fallback xmlns="">
        <xdr:sp macro="" textlink="">
          <xdr:nvSpPr>
            <xdr:cNvPr id="0" name=""/>
            <xdr:cNvSpPr>
              <a:spLocks noTextEdit="1"/>
            </xdr:cNvSpPr>
          </xdr:nvSpPr>
          <xdr:spPr>
            <a:xfrm>
              <a:off x="9731189" y="6208619"/>
              <a:ext cx="181535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469527</xdr:colOff>
      <xdr:row>32</xdr:row>
      <xdr:rowOff>140634</xdr:rowOff>
    </xdr:from>
    <xdr:to>
      <xdr:col>12</xdr:col>
      <xdr:colOff>469526</xdr:colOff>
      <xdr:row>45</xdr:row>
      <xdr:rowOff>188259</xdr:rowOff>
    </xdr:to>
    <mc:AlternateContent xmlns:mc="http://schemas.openxmlformats.org/markup-compatibility/2006" xmlns:a14="http://schemas.microsoft.com/office/drawing/2010/main">
      <mc:Choice Requires="a14">
        <xdr:graphicFrame macro="">
          <xdr:nvGraphicFramePr>
            <xdr:cNvPr id="9" name="Color">
              <a:extLst>
                <a:ext uri="{FF2B5EF4-FFF2-40B4-BE49-F238E27FC236}">
                  <a16:creationId xmlns:a16="http://schemas.microsoft.com/office/drawing/2014/main" id="{FC3D3639-04FA-4707-B6F9-F807AE57787E}"/>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7674909" y="6236634"/>
              <a:ext cx="181535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324971</xdr:colOff>
      <xdr:row>32</xdr:row>
      <xdr:rowOff>168649</xdr:rowOff>
    </xdr:from>
    <xdr:to>
      <xdr:col>8</xdr:col>
      <xdr:colOff>493059</xdr:colOff>
      <xdr:row>46</xdr:row>
      <xdr:rowOff>25774</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606908B3-88CC-41B3-A0F0-919CC2AE756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277971" y="6264649"/>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514351</xdr:colOff>
      <xdr:row>47</xdr:row>
      <xdr:rowOff>85725</xdr:rowOff>
    </xdr:from>
    <xdr:to>
      <xdr:col>12</xdr:col>
      <xdr:colOff>295277</xdr:colOff>
      <xdr:row>54</xdr:row>
      <xdr:rowOff>123825</xdr:rowOff>
    </xdr:to>
    <mc:AlternateContent xmlns:mc="http://schemas.openxmlformats.org/markup-compatibility/2006" xmlns:tsle="http://schemas.microsoft.com/office/drawing/2012/timeslicer">
      <mc:Choice Requires="tsle">
        <xdr:graphicFrame macro="">
          <xdr:nvGraphicFramePr>
            <xdr:cNvPr id="11" name="Sale_Date">
              <a:extLst>
                <a:ext uri="{FF2B5EF4-FFF2-40B4-BE49-F238E27FC236}">
                  <a16:creationId xmlns:a16="http://schemas.microsoft.com/office/drawing/2014/main" id="{9A656FC2-5194-49BC-92B4-0C05C9596C25}"/>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3226175" y="9039225"/>
              <a:ext cx="608983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34637</xdr:rowOff>
    </xdr:from>
    <xdr:to>
      <xdr:col>7</xdr:col>
      <xdr:colOff>309283</xdr:colOff>
      <xdr:row>14</xdr:row>
      <xdr:rowOff>110837</xdr:rowOff>
    </xdr:to>
    <xdr:graphicFrame macro="">
      <xdr:nvGraphicFramePr>
        <xdr:cNvPr id="2" name="Chart 1">
          <a:extLst>
            <a:ext uri="{FF2B5EF4-FFF2-40B4-BE49-F238E27FC236}">
              <a16:creationId xmlns:a16="http://schemas.microsoft.com/office/drawing/2014/main" id="{F66048F0-6809-4F33-9726-CB7C7C915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432954</xdr:colOff>
      <xdr:row>0</xdr:row>
      <xdr:rowOff>0</xdr:rowOff>
    </xdr:from>
    <xdr:to>
      <xdr:col>15</xdr:col>
      <xdr:colOff>162996</xdr:colOff>
      <xdr:row>14</xdr:row>
      <xdr:rowOff>76200</xdr:rowOff>
    </xdr:to>
    <xdr:graphicFrame macro="">
      <xdr:nvGraphicFramePr>
        <xdr:cNvPr id="3" name="Chart 2">
          <a:extLst>
            <a:ext uri="{FF2B5EF4-FFF2-40B4-BE49-F238E27FC236}">
              <a16:creationId xmlns:a16="http://schemas.microsoft.com/office/drawing/2014/main" id="{80711C59-A9AF-434B-A748-A61121D0E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0</xdr:rowOff>
    </xdr:from>
    <xdr:to>
      <xdr:col>7</xdr:col>
      <xdr:colOff>324409</xdr:colOff>
      <xdr:row>29</xdr:row>
      <xdr:rowOff>76200</xdr:rowOff>
    </xdr:to>
    <xdr:graphicFrame macro="">
      <xdr:nvGraphicFramePr>
        <xdr:cNvPr id="4" name="Chart 3">
          <a:extLst>
            <a:ext uri="{FF2B5EF4-FFF2-40B4-BE49-F238E27FC236}">
              <a16:creationId xmlns:a16="http://schemas.microsoft.com/office/drawing/2014/main" id="{3EDBF9A9-A650-4194-8C71-26E6485F7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415636</xdr:colOff>
      <xdr:row>15</xdr:row>
      <xdr:rowOff>17318</xdr:rowOff>
    </xdr:from>
    <xdr:to>
      <xdr:col>15</xdr:col>
      <xdr:colOff>114301</xdr:colOff>
      <xdr:row>29</xdr:row>
      <xdr:rowOff>93518</xdr:rowOff>
    </xdr:to>
    <xdr:graphicFrame macro="">
      <xdr:nvGraphicFramePr>
        <xdr:cNvPr id="5" name="Chart 4">
          <a:extLst>
            <a:ext uri="{FF2B5EF4-FFF2-40B4-BE49-F238E27FC236}">
              <a16:creationId xmlns:a16="http://schemas.microsoft.com/office/drawing/2014/main" id="{CC2256CF-DF01-4AE2-8CE8-7EA90CEF6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219075</xdr:colOff>
      <xdr:row>9</xdr:row>
      <xdr:rowOff>92448</xdr:rowOff>
    </xdr:from>
    <xdr:to>
      <xdr:col>16</xdr:col>
      <xdr:colOff>1433232</xdr:colOff>
      <xdr:row>20</xdr:row>
      <xdr:rowOff>68036</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71D3CA93-1D3C-42B6-B7DB-ADB46705940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363075" y="2378448"/>
              <a:ext cx="1823757" cy="2071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1489264</xdr:colOff>
      <xdr:row>9</xdr:row>
      <xdr:rowOff>93569</xdr:rowOff>
    </xdr:from>
    <xdr:to>
      <xdr:col>17</xdr:col>
      <xdr:colOff>1018617</xdr:colOff>
      <xdr:row>20</xdr:row>
      <xdr:rowOff>40821</xdr:rowOff>
    </xdr:to>
    <mc:AlternateContent xmlns:mc="http://schemas.openxmlformats.org/markup-compatibility/2006" xmlns:a14="http://schemas.microsoft.com/office/drawing/2010/main">
      <mc:Choice Requires="a14">
        <xdr:graphicFrame macro="">
          <xdr:nvGraphicFramePr>
            <xdr:cNvPr id="7" name="iPhone_Model 1">
              <a:extLst>
                <a:ext uri="{FF2B5EF4-FFF2-40B4-BE49-F238E27FC236}">
                  <a16:creationId xmlns:a16="http://schemas.microsoft.com/office/drawing/2014/main" id="{4DF29937-0507-4364-A1C0-7E1DC4A61759}"/>
                </a:ext>
              </a:extLst>
            </xdr:cNvPr>
            <xdr:cNvGraphicFramePr/>
          </xdr:nvGraphicFramePr>
          <xdr:xfrm>
            <a:off x="0" y="0"/>
            <a:ext cx="0" cy="0"/>
          </xdr:xfrm>
          <a:graphic>
            <a:graphicData uri="http://schemas.microsoft.com/office/drawing/2010/slicer">
              <sle:slicer xmlns:sle="http://schemas.microsoft.com/office/drawing/2010/slicer" name="iPhone_Model 1"/>
            </a:graphicData>
          </a:graphic>
        </xdr:graphicFrame>
      </mc:Choice>
      <mc:Fallback xmlns="">
        <xdr:sp macro="" textlink="">
          <xdr:nvSpPr>
            <xdr:cNvPr id="0" name=""/>
            <xdr:cNvSpPr>
              <a:spLocks noTextEdit="1"/>
            </xdr:cNvSpPr>
          </xdr:nvSpPr>
          <xdr:spPr>
            <a:xfrm>
              <a:off x="11242864" y="2379569"/>
              <a:ext cx="1815353" cy="2042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377240</xdr:colOff>
      <xdr:row>21</xdr:row>
      <xdr:rowOff>81644</xdr:rowOff>
    </xdr:from>
    <xdr:to>
      <xdr:col>16</xdr:col>
      <xdr:colOff>2200756</xdr:colOff>
      <xdr:row>28</xdr:row>
      <xdr:rowOff>149680</xdr:rowOff>
    </xdr:to>
    <mc:AlternateContent xmlns:mc="http://schemas.openxmlformats.org/markup-compatibility/2006" xmlns:a14="http://schemas.microsoft.com/office/drawing/2010/main">
      <mc:Choice Requires="a14">
        <xdr:graphicFrame macro="">
          <xdr:nvGraphicFramePr>
            <xdr:cNvPr id="8" name="Storage 1">
              <a:extLst>
                <a:ext uri="{FF2B5EF4-FFF2-40B4-BE49-F238E27FC236}">
                  <a16:creationId xmlns:a16="http://schemas.microsoft.com/office/drawing/2014/main" id="{CC716264-E07B-4F8F-8DAE-41D9248547AD}"/>
                </a:ext>
              </a:extLst>
            </xdr:cNvPr>
            <xdr:cNvGraphicFramePr/>
          </xdr:nvGraphicFramePr>
          <xdr:xfrm>
            <a:off x="0" y="0"/>
            <a:ext cx="0" cy="0"/>
          </xdr:xfrm>
          <a:graphic>
            <a:graphicData uri="http://schemas.microsoft.com/office/drawing/2010/slicer">
              <sle:slicer xmlns:sle="http://schemas.microsoft.com/office/drawing/2010/slicer" name="Storage 1"/>
            </a:graphicData>
          </a:graphic>
        </xdr:graphicFrame>
      </mc:Choice>
      <mc:Fallback xmlns="">
        <xdr:sp macro="" textlink="">
          <xdr:nvSpPr>
            <xdr:cNvPr id="0" name=""/>
            <xdr:cNvSpPr>
              <a:spLocks noTextEdit="1"/>
            </xdr:cNvSpPr>
          </xdr:nvSpPr>
          <xdr:spPr>
            <a:xfrm>
              <a:off x="10130840" y="4653644"/>
              <a:ext cx="1823516" cy="1401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1088652</xdr:colOff>
      <xdr:row>18</xdr:row>
      <xdr:rowOff>17131</xdr:rowOff>
    </xdr:from>
    <xdr:to>
      <xdr:col>18</xdr:col>
      <xdr:colOff>563576</xdr:colOff>
      <xdr:row>27</xdr:row>
      <xdr:rowOff>163287</xdr:rowOff>
    </xdr:to>
    <mc:AlternateContent xmlns:mc="http://schemas.openxmlformats.org/markup-compatibility/2006" xmlns:a14="http://schemas.microsoft.com/office/drawing/2010/main">
      <mc:Choice Requires="a14">
        <xdr:graphicFrame macro="">
          <xdr:nvGraphicFramePr>
            <xdr:cNvPr id="9" name="Color 1">
              <a:extLst>
                <a:ext uri="{FF2B5EF4-FFF2-40B4-BE49-F238E27FC236}">
                  <a16:creationId xmlns:a16="http://schemas.microsoft.com/office/drawing/2014/main" id="{FC8C6A85-E484-49A5-9677-A38BA16A0C5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3128252" y="4017631"/>
              <a:ext cx="1818074" cy="1860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1063439</xdr:colOff>
      <xdr:row>9</xdr:row>
      <xdr:rowOff>113181</xdr:rowOff>
    </xdr:from>
    <xdr:to>
      <xdr:col>18</xdr:col>
      <xdr:colOff>535642</xdr:colOff>
      <xdr:row>17</xdr:row>
      <xdr:rowOff>122465</xdr:rowOff>
    </xdr:to>
    <mc:AlternateContent xmlns:mc="http://schemas.openxmlformats.org/markup-compatibility/2006" xmlns:a14="http://schemas.microsoft.com/office/drawing/2010/main">
      <mc:Choice Requires="a14">
        <xdr:graphicFrame macro="">
          <xdr:nvGraphicFramePr>
            <xdr:cNvPr id="10" name="Payment_Method 1">
              <a:extLst>
                <a:ext uri="{FF2B5EF4-FFF2-40B4-BE49-F238E27FC236}">
                  <a16:creationId xmlns:a16="http://schemas.microsoft.com/office/drawing/2014/main" id="{4EE41A77-D0ED-4425-9E55-B9F402FD486D}"/>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103039" y="2399181"/>
              <a:ext cx="1815353" cy="1533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200024</xdr:colOff>
      <xdr:row>0</xdr:row>
      <xdr:rowOff>1</xdr:rowOff>
    </xdr:from>
    <xdr:to>
      <xdr:col>20</xdr:col>
      <xdr:colOff>19049</xdr:colOff>
      <xdr:row>6</xdr:row>
      <xdr:rowOff>133351</xdr:rowOff>
    </xdr:to>
    <mc:AlternateContent xmlns:mc="http://schemas.openxmlformats.org/markup-compatibility/2006">
      <mc:Choice xmlns:tsle="http://schemas.microsoft.com/office/drawing/2012/timeslicer" Requires="tsle">
        <xdr:graphicFrame macro="">
          <xdr:nvGraphicFramePr>
            <xdr:cNvPr id="11" name="Sale_Date 1">
              <a:extLst>
                <a:ext uri="{FF2B5EF4-FFF2-40B4-BE49-F238E27FC236}">
                  <a16:creationId xmlns:a16="http://schemas.microsoft.com/office/drawing/2014/main" id="{9EF5E933-10C6-4B2E-88CF-A53317C0F41C}"/>
                </a:ext>
              </a:extLst>
            </xdr:cNvPr>
            <xdr:cNvGraphicFramePr/>
          </xdr:nvGraphicFramePr>
          <xdr:xfrm>
            <a:off x="0" y="0"/>
            <a:ext cx="0" cy="0"/>
          </xdr:xfrm>
          <a:graphic>
            <a:graphicData uri="http://schemas.microsoft.com/office/drawing/2012/timeslicer">
              <tsle:timeslicer xmlns:tsle="http://schemas.microsoft.com/office/drawing/2012/timeslicer" name="Sale_Date 1"/>
            </a:graphicData>
          </a:graphic>
        </xdr:graphicFrame>
      </mc:Choice>
      <mc:Fallback>
        <xdr:sp macro="" textlink="">
          <xdr:nvSpPr>
            <xdr:cNvPr id="0" name=""/>
            <xdr:cNvSpPr>
              <a:spLocks noTextEdit="1"/>
            </xdr:cNvSpPr>
          </xdr:nvSpPr>
          <xdr:spPr>
            <a:xfrm>
              <a:off x="9344024" y="1"/>
              <a:ext cx="6276975" cy="12763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4712037038" backgroundQuery="1" createdVersion="7" refreshedVersion="7" minRefreshableVersion="3" recordCount="0" supportSubquery="1" supportAdvancedDrill="1" xr:uid="{7FEF635E-CEE2-44F7-8987-B534F27A0BD6}">
  <cacheSource type="external" connectionId="2"/>
  <cacheFields count="3">
    <cacheField name="[Measures].[Sum of Revenue]" caption="Sum of Revenue" numFmtId="0" hierarchy="17" level="32767"/>
    <cacheField name="[SalesData].[iPhone_Model].[iPhone_Model]" caption="iPhone_Model" numFmtId="0" hierarchy="4" level="1">
      <sharedItems count="6">
        <s v="iPhone 12"/>
        <s v="iPhone 13"/>
        <s v="iPhone 14"/>
        <s v="iPhone 14 Pro"/>
        <s v="iPhone 15"/>
        <s v="iPhone 15 Pro Max"/>
      </sharedItems>
    </cacheField>
    <cacheField name="[SalesData].[Storage].[Storage]" caption="Storage" numFmtId="0" hierarchy="5" level="1">
      <sharedItems containsSemiMixedTypes="0" containsNonDate="0" containsString="0"/>
    </cacheField>
  </cacheFields>
  <cacheHierarchies count="19">
    <cacheHierarchy uniqueName="[Range].[iPhone_Model]" caption="iPhone_Model" attribute="1" defaultMemberUniqueName="[Range].[iPhone_Model].[All]" allUniqueName="[Range].[iPhone_Model].[All]" dimensionUniqueName="[Range]" displayFolder="" count="2" memberValueDatatype="130" unbalanced="0"/>
    <cacheHierarchy uniqueName="[SalesData].[Order_ID]" caption="Order_ID" attribute="1" defaultMemberUniqueName="[SalesData].[Order_ID].[All]" allUniqueName="[SalesData].[Order_ID].[All]" dimensionUniqueName="[SalesData]" displayFolder="" count="2" memberValueDatatype="20" unbalanced="0"/>
    <cacheHierarchy uniqueName="[SalesData].[Customer_Name]" caption="Customer_Name" attribute="1" defaultMemberUniqueName="[SalesData].[Customer_Name].[All]" allUniqueName="[SalesData].[Customer_Nam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iPhone_Model]" caption="iPhone_Model" attribute="1" defaultMemberUniqueName="[SalesData].[iPhone_Model].[All]" allUniqueName="[SalesData].[iPhone_Model].[All]" dimensionUniqueName="[SalesData]" displayFolder="" count="2" memberValueDatatype="130" unbalanced="0">
      <fieldsUsage count="2">
        <fieldUsage x="-1"/>
        <fieldUsage x="1"/>
      </fieldsUsage>
    </cacheHierarchy>
    <cacheHierarchy uniqueName="[SalesData].[Storage]" caption="Storage" attribute="1" defaultMemberUniqueName="[SalesData].[Storage].[All]" allUniqueName="[SalesData].[Storage].[All]" dimensionUniqueName="[SalesData]" displayFolder="" count="2" memberValueDatatype="130" unbalanced="0">
      <fieldsUsage count="2">
        <fieldUsage x="-1"/>
        <fieldUsage x="2"/>
      </fieldsUsage>
    </cacheHierarchy>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ice]" caption="Price" attribute="1" defaultMemberUniqueName="[SalesData].[Price].[All]" allUniqueName="[SalesData].[Price].[All]" dimensionUniqueName="[SalesData]" displayFolder="" count="2" memberValueDatatype="20" unbalanced="0"/>
    <cacheHierarchy uniqueName="[SalesData].[Sale_Date]" caption="Sale_Date" attribute="1" time="1" defaultMemberUniqueName="[SalesData].[Sale_Date].[All]" allUniqueName="[SalesData].[Sale_Date].[All]" dimensionUniqueName="[SalesData]" displayFolder="" count="2"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Revenue]" caption="Revenue" attribute="1" defaultMemberUniqueName="[SalesData].[Revenue].[All]" allUniqueName="[SalesData].[Revenue].[All]" dimensionUniqueName="[SalesData]" displayFolder="" count="2" memberValueDatatype="20" unbalanced="0"/>
    <cacheHierarchy uniqueName="[SalesData].[Sale_Date (Month)]" caption="Sale_Date (Month)" attribute="1" defaultMemberUniqueName="[SalesData].[Sale_Date (Month)].[All]" allUniqueName="[SalesData].[Sale_Date (Month)].[All]" dimensionUniqueName="[SalesData]" displayFolder="" count="2" memberValueDatatype="130" unbalanced="0"/>
    <cacheHierarchy uniqueName="[SalesData].[Sale_Date (Month Index)]" caption="Sale_Date (Month Index)" attribute="1" defaultMemberUniqueName="[SalesData].[Sale_Date (Month Index)].[All]" allUniqueName="[SalesData].[Sale_Date (Month Index)].[All]" dimensionUniqueName="[SalesData]" displayFolder="" count="2"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4712384261" backgroundQuery="1" createdVersion="7" refreshedVersion="7" minRefreshableVersion="3" recordCount="0" supportSubquery="1" supportAdvancedDrill="1" xr:uid="{DF0D1452-95D8-443E-B24D-EAACC8C10417}">
  <cacheSource type="external" connectionId="2"/>
  <cacheFields count="3">
    <cacheField name="[SalesData].[Country].[Country]" caption="Country" numFmtId="0" hierarchy="3" level="1">
      <sharedItems count="6">
        <s v="Canada"/>
        <s v="Germany"/>
        <s v="Pakistan"/>
        <s v="UAE"/>
        <s v="UK"/>
        <s v="USA"/>
      </sharedItems>
    </cacheField>
    <cacheField name="[Measures].[Sum of Revenue]" caption="Sum of Revenue" numFmtId="0" hierarchy="17" level="32767"/>
    <cacheField name="[SalesData].[Storage].[Storage]" caption="Storage" numFmtId="0" hierarchy="5" level="1">
      <sharedItems containsSemiMixedTypes="0" containsNonDate="0" containsString="0"/>
    </cacheField>
  </cacheFields>
  <cacheHierarchies count="19">
    <cacheHierarchy uniqueName="[Range].[iPhone_Model]" caption="iPhone_Model" attribute="1" defaultMemberUniqueName="[Range].[iPhone_Model].[All]" allUniqueName="[Range].[iPhone_Model].[All]" dimensionUniqueName="[Range]" displayFolder="" count="0" memberValueDatatype="130" unbalanced="0"/>
    <cacheHierarchy uniqueName="[SalesData].[Order_ID]" caption="Order_ID" attribute="1" defaultMemberUniqueName="[SalesData].[Order_ID].[All]" allUniqueName="[SalesData].[Order_ID].[All]" dimensionUniqueName="[SalesData]" displayFolder="" count="0" memberValueDatatype="20" unbalanced="0"/>
    <cacheHierarchy uniqueName="[SalesData].[Customer_Name]" caption="Customer_Name" attribute="1" defaultMemberUniqueName="[SalesData].[Customer_Name].[All]" allUniqueName="[SalesData].[Customer_Name].[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2" memberValueDatatype="130" unbalanced="0">
      <fieldsUsage count="2">
        <fieldUsage x="-1"/>
        <fieldUsage x="0"/>
      </fieldsUsage>
    </cacheHierarchy>
    <cacheHierarchy uniqueName="[SalesData].[iPhone_Model]" caption="iPhone_Model" attribute="1" defaultMemberUniqueName="[SalesData].[iPhone_Model].[All]" allUniqueName="[SalesData].[iPhone_Model].[All]" dimensionUniqueName="[SalesData]" displayFolder="" count="2" memberValueDatatype="130" unbalanced="0"/>
    <cacheHierarchy uniqueName="[SalesData].[Storage]" caption="Storage" attribute="1" defaultMemberUniqueName="[SalesData].[Storage].[All]" allUniqueName="[SalesData].[Storage].[All]" dimensionUniqueName="[SalesData]" displayFolder="" count="2" memberValueDatatype="130" unbalanced="0">
      <fieldsUsage count="2">
        <fieldUsage x="-1"/>
        <fieldUsage x="2"/>
      </fieldsUsage>
    </cacheHierarchy>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ice]" caption="Price" attribute="1" defaultMemberUniqueName="[SalesData].[Price].[All]" allUniqueName="[SalesData].[Price].[All]" dimensionUniqueName="[SalesData]" displayFolder="" count="0" memberValueDatatype="20" unbalanced="0"/>
    <cacheHierarchy uniqueName="[SalesData].[Sale_Date]" caption="Sale_Date" attribute="1" time="1" defaultMemberUniqueName="[SalesData].[Sale_Date].[All]" allUniqueName="[SalesData].[Sale_Dat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Revenue]" caption="Revenue" attribute="1" defaultMemberUniqueName="[SalesData].[Revenue].[All]" allUniqueName="[SalesData].[Revenue].[All]" dimensionUniqueName="[SalesData]" displayFolder="" count="0" memberValueDatatype="20" unbalanced="0"/>
    <cacheHierarchy uniqueName="[SalesData].[Sale_Date (Month)]" caption="Sale_Date (Month)" attribute="1" defaultMemberUniqueName="[SalesData].[Sale_Date (Month)].[All]" allUniqueName="[SalesData].[Sale_Date (Month)].[All]" dimensionUniqueName="[SalesData]" displayFolder="" count="0" memberValueDatatype="130" unbalanced="0"/>
    <cacheHierarchy uniqueName="[SalesData].[Sale_Date (Month Index)]" caption="Sale_Date (Month Index)" attribute="1" defaultMemberUniqueName="[SalesData].[Sale_Date (Month Index)].[All]" allUniqueName="[SalesData].[Sale_Date (Month Index)].[All]" dimensionUniqueName="[SalesData]" displayFolder="" count="0"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4712731485" backgroundQuery="1" createdVersion="7" refreshedVersion="7" minRefreshableVersion="3" recordCount="0" supportSubquery="1" supportAdvancedDrill="1" xr:uid="{6C262055-347D-46F3-B125-B08EAEA0D1E0}">
  <cacheSource type="external" connectionId="2"/>
  <cacheFields count="3">
    <cacheField name="[SalesData].[Sale_Date (Month)].[Sale_Date (Month)]" caption="Sale_Date (Month)" numFmtId="0" hierarchy="12" level="1">
      <sharedItems count="5">
        <s v="Jan"/>
        <s v="Feb"/>
        <s v="Mar"/>
        <s v="Apr"/>
        <s v="May"/>
      </sharedItems>
    </cacheField>
    <cacheField name="[Measures].[Sum of Revenue]" caption="Sum of Revenue" numFmtId="0" hierarchy="17" level="32767"/>
    <cacheField name="[SalesData].[Storage].[Storage]" caption="Storage" numFmtId="0" hierarchy="5" level="1">
      <sharedItems containsSemiMixedTypes="0" containsNonDate="0" containsString="0"/>
    </cacheField>
  </cacheFields>
  <cacheHierarchies count="19">
    <cacheHierarchy uniqueName="[Range].[iPhone_Model]" caption="iPhone_Model" attribute="1" defaultMemberUniqueName="[Range].[iPhone_Model].[All]" allUniqueName="[Range].[iPhone_Model].[All]" dimensionUniqueName="[Range]" displayFolder="" count="0" memberValueDatatype="130" unbalanced="0"/>
    <cacheHierarchy uniqueName="[SalesData].[Order_ID]" caption="Order_ID" attribute="1" defaultMemberUniqueName="[SalesData].[Order_ID].[All]" allUniqueName="[SalesData].[Order_ID].[All]" dimensionUniqueName="[SalesData]" displayFolder="" count="0" memberValueDatatype="20" unbalanced="0"/>
    <cacheHierarchy uniqueName="[SalesData].[Customer_Name]" caption="Customer_Name" attribute="1" defaultMemberUniqueName="[SalesData].[Customer_Name].[All]" allUniqueName="[SalesData].[Customer_Name].[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iPhone_Model]" caption="iPhone_Model" attribute="1" defaultMemberUniqueName="[SalesData].[iPhone_Model].[All]" allUniqueName="[SalesData].[iPhone_Model].[All]" dimensionUniqueName="[SalesData]" displayFolder="" count="2" memberValueDatatype="130" unbalanced="0"/>
    <cacheHierarchy uniqueName="[SalesData].[Storage]" caption="Storage" attribute="1" defaultMemberUniqueName="[SalesData].[Storage].[All]" allUniqueName="[SalesData].[Storage].[All]" dimensionUniqueName="[SalesData]" displayFolder="" count="2" memberValueDatatype="130" unbalanced="0">
      <fieldsUsage count="2">
        <fieldUsage x="-1"/>
        <fieldUsage x="2"/>
      </fieldsUsage>
    </cacheHierarchy>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ice]" caption="Price" attribute="1" defaultMemberUniqueName="[SalesData].[Price].[All]" allUniqueName="[SalesData].[Price].[All]" dimensionUniqueName="[SalesData]" displayFolder="" count="0" memberValueDatatype="20" unbalanced="0"/>
    <cacheHierarchy uniqueName="[SalesData].[Sale_Date]" caption="Sale_Date" attribute="1" time="1" defaultMemberUniqueName="[SalesData].[Sale_Date].[All]" allUniqueName="[SalesData].[Sale_Dat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Revenue]" caption="Revenue" attribute="1" defaultMemberUniqueName="[SalesData].[Revenue].[All]" allUniqueName="[SalesData].[Revenue].[All]" dimensionUniqueName="[SalesData]" displayFolder="" count="0" memberValueDatatype="20" unbalanced="0"/>
    <cacheHierarchy uniqueName="[SalesData].[Sale_Date (Month)]" caption="Sale_Date (Month)" attribute="1" defaultMemberUniqueName="[SalesData].[Sale_Date (Month)].[All]" allUniqueName="[SalesData].[Sale_Date (Month)].[All]" dimensionUniqueName="[SalesData]" displayFolder="" count="2" memberValueDatatype="130" unbalanced="0">
      <fieldsUsage count="2">
        <fieldUsage x="-1"/>
        <fieldUsage x="0"/>
      </fieldsUsage>
    </cacheHierarchy>
    <cacheHierarchy uniqueName="[SalesData].[Sale_Date (Month Index)]" caption="Sale_Date (Month Index)" attribute="1" defaultMemberUniqueName="[SalesData].[Sale_Date (Month Index)].[All]" allUniqueName="[SalesData].[Sale_Date (Month Index)].[All]" dimensionUniqueName="[SalesData]" displayFolder="" count="0"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4713194447" backgroundQuery="1" createdVersion="7" refreshedVersion="7" minRefreshableVersion="3" recordCount="0" supportSubquery="1" supportAdvancedDrill="1" xr:uid="{6F38B326-6153-405D-BA45-5180B8D1D11B}">
  <cacheSource type="external" connectionId="2"/>
  <cacheFields count="3">
    <cacheField name="[SalesData].[Payment_Method].[Payment_Method]" caption="Payment_Method" numFmtId="0" hierarchy="10" level="1">
      <sharedItems count="4">
        <s v="Cash"/>
        <s v="Credit Card"/>
        <s v="Debit Card"/>
        <s v="PayPal"/>
      </sharedItems>
    </cacheField>
    <cacheField name="[Measures].[Sum of Quantity]" caption="Sum of Quantity" numFmtId="0" hierarchy="18" level="32767"/>
    <cacheField name="[SalesData].[Storage].[Storage]" caption="Storage" numFmtId="0" hierarchy="5" level="1">
      <sharedItems containsSemiMixedTypes="0" containsNonDate="0" containsString="0"/>
    </cacheField>
  </cacheFields>
  <cacheHierarchies count="19">
    <cacheHierarchy uniqueName="[Range].[iPhone_Model]" caption="iPhone_Model" attribute="1" defaultMemberUniqueName="[Range].[iPhone_Model].[All]" allUniqueName="[Range].[iPhone_Model].[All]" dimensionUniqueName="[Range]" displayFolder="" count="0" memberValueDatatype="130" unbalanced="0"/>
    <cacheHierarchy uniqueName="[SalesData].[Order_ID]" caption="Order_ID" attribute="1" defaultMemberUniqueName="[SalesData].[Order_ID].[All]" allUniqueName="[SalesData].[Order_ID].[All]" dimensionUniqueName="[SalesData]" displayFolder="" count="0" memberValueDatatype="20" unbalanced="0"/>
    <cacheHierarchy uniqueName="[SalesData].[Customer_Name]" caption="Customer_Name" attribute="1" defaultMemberUniqueName="[SalesData].[Customer_Name].[All]" allUniqueName="[SalesData].[Customer_Name].[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iPhone_Model]" caption="iPhone_Model" attribute="1" defaultMemberUniqueName="[SalesData].[iPhone_Model].[All]" allUniqueName="[SalesData].[iPhone_Model].[All]" dimensionUniqueName="[SalesData]" displayFolder="" count="2" memberValueDatatype="130" unbalanced="0"/>
    <cacheHierarchy uniqueName="[SalesData].[Storage]" caption="Storage" attribute="1" defaultMemberUniqueName="[SalesData].[Storage].[All]" allUniqueName="[SalesData].[Storage].[All]" dimensionUniqueName="[SalesData]" displayFolder="" count="2" memberValueDatatype="130" unbalanced="0">
      <fieldsUsage count="2">
        <fieldUsage x="-1"/>
        <fieldUsage x="2"/>
      </fieldsUsage>
    </cacheHierarchy>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ice]" caption="Price" attribute="1" defaultMemberUniqueName="[SalesData].[Price].[All]" allUniqueName="[SalesData].[Price].[All]" dimensionUniqueName="[SalesData]" displayFolder="" count="0" memberValueDatatype="20" unbalanced="0"/>
    <cacheHierarchy uniqueName="[SalesData].[Sale_Date]" caption="Sale_Date" attribute="1" time="1" defaultMemberUniqueName="[SalesData].[Sale_Date].[All]" allUniqueName="[SalesData].[Sale_Dat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fieldsUsage count="2">
        <fieldUsage x="-1"/>
        <fieldUsage x="0"/>
      </fieldsUsage>
    </cacheHierarchy>
    <cacheHierarchy uniqueName="[SalesData].[Revenue]" caption="Revenue" attribute="1" defaultMemberUniqueName="[SalesData].[Revenue].[All]" allUniqueName="[SalesData].[Revenue].[All]" dimensionUniqueName="[SalesData]" displayFolder="" count="0" memberValueDatatype="20" unbalanced="0"/>
    <cacheHierarchy uniqueName="[SalesData].[Sale_Date (Month)]" caption="Sale_Date (Month)" attribute="1" defaultMemberUniqueName="[SalesData].[Sale_Date (Month)].[All]" allUniqueName="[SalesData].[Sale_Date (Month)].[All]" dimensionUniqueName="[SalesData]" displayFolder="" count="0" memberValueDatatype="130" unbalanced="0"/>
    <cacheHierarchy uniqueName="[SalesData].[Sale_Date (Month Index)]" caption="Sale_Date (Month Index)" attribute="1" defaultMemberUniqueName="[SalesData].[Sale_Date (Month Index)].[All]" allUniqueName="[SalesData].[Sale_Date (Month Index)].[All]" dimensionUniqueName="[SalesData]" displayFolder="" count="0"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esData"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471354167" backgroundQuery="1" createdVersion="7" refreshedVersion="7" minRefreshableVersion="3" recordCount="0" supportSubquery="1" supportAdvancedDrill="1" xr:uid="{BBE1BE36-80C6-4EDE-ACA4-A3772147D05A}">
  <cacheSource type="external" connectionId="2"/>
  <cacheFields count="3">
    <cacheField name="[Measures].[Sum of Quantity]" caption="Sum of Quantity" numFmtId="0" hierarchy="18" level="32767"/>
    <cacheField name="[Measures].[Sum of Revenue]" caption="Sum of Revenue" numFmtId="0" hierarchy="17" level="32767"/>
    <cacheField name="[SalesData].[Storage].[Storage]" caption="Storage" numFmtId="0" hierarchy="5" level="1">
      <sharedItems containsSemiMixedTypes="0" containsNonDate="0" containsString="0"/>
    </cacheField>
  </cacheFields>
  <cacheHierarchies count="19">
    <cacheHierarchy uniqueName="[Range].[iPhone_Model]" caption="iPhone_Model" attribute="1" defaultMemberUniqueName="[Range].[iPhone_Model].[All]" allUniqueName="[Range].[iPhone_Model].[All]" dimensionUniqueName="[Range]" displayFolder="" count="0" memberValueDatatype="130" unbalanced="0"/>
    <cacheHierarchy uniqueName="[SalesData].[Order_ID]" caption="Order_ID" attribute="1" defaultMemberUniqueName="[SalesData].[Order_ID].[All]" allUniqueName="[SalesData].[Order_ID].[All]" dimensionUniqueName="[SalesData]" displayFolder="" count="0" memberValueDatatype="20" unbalanced="0"/>
    <cacheHierarchy uniqueName="[SalesData].[Customer_Name]" caption="Customer_Name" attribute="1" defaultMemberUniqueName="[SalesData].[Customer_Name].[All]" allUniqueName="[SalesData].[Customer_Name].[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iPhone_Model]" caption="iPhone_Model" attribute="1" defaultMemberUniqueName="[SalesData].[iPhone_Model].[All]" allUniqueName="[SalesData].[iPhone_Model].[All]" dimensionUniqueName="[SalesData]" displayFolder="" count="2" memberValueDatatype="130" unbalanced="0"/>
    <cacheHierarchy uniqueName="[SalesData].[Storage]" caption="Storage" attribute="1" defaultMemberUniqueName="[SalesData].[Storage].[All]" allUniqueName="[SalesData].[Storage].[All]" dimensionUniqueName="[SalesData]" displayFolder="" count="2" memberValueDatatype="130" unbalanced="0">
      <fieldsUsage count="2">
        <fieldUsage x="-1"/>
        <fieldUsage x="2"/>
      </fieldsUsage>
    </cacheHierarchy>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ice]" caption="Price" attribute="1" defaultMemberUniqueName="[SalesData].[Price].[All]" allUniqueName="[SalesData].[Price].[All]" dimensionUniqueName="[SalesData]" displayFolder="" count="0" memberValueDatatype="20" unbalanced="0"/>
    <cacheHierarchy uniqueName="[SalesData].[Sale_Date]" caption="Sale_Date" attribute="1" time="1" defaultMemberUniqueName="[SalesData].[Sale_Date].[All]" allUniqueName="[SalesData].[Sale_Dat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Revenue]" caption="Revenue" attribute="1" defaultMemberUniqueName="[SalesData].[Revenue].[All]" allUniqueName="[SalesData].[Revenue].[All]" dimensionUniqueName="[SalesData]" displayFolder="" count="2" memberValueDatatype="20" unbalanced="0"/>
    <cacheHierarchy uniqueName="[SalesData].[Sale_Date (Month)]" caption="Sale_Date (Month)" attribute="1" defaultMemberUniqueName="[SalesData].[Sale_Date (Month)].[All]" allUniqueName="[SalesData].[Sale_Date (Month)].[All]" dimensionUniqueName="[SalesData]" displayFolder="" count="0" memberValueDatatype="130" unbalanced="0"/>
    <cacheHierarchy uniqueName="[SalesData].[Sale_Date (Month Index)]" caption="Sale_Date (Month Index)" attribute="1" defaultMemberUniqueName="[SalesData].[Sale_Date (Month Index)].[All]" allUniqueName="[SalesData].[Sale_Date (Month Index)].[All]" dimensionUniqueName="[SalesData]" displayFolder="" count="0"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esData"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153171296" backgroundQuery="1" createdVersion="3" refreshedVersion="7" minRefreshableVersion="3" recordCount="0" supportSubquery="1" supportAdvancedDrill="1" xr:uid="{BC4B0A8A-B58F-460C-AA78-2BBE20F17E74}">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Range].[iPhone_Model]" caption="iPhone_Model" attribute="1" defaultMemberUniqueName="[Range].[iPhone_Model].[All]" allUniqueName="[Range].[iPhone_Model].[All]" dimensionUniqueName="[Range]" displayFolder="" count="0" memberValueDatatype="130" unbalanced="0"/>
    <cacheHierarchy uniqueName="[SalesData].[Order_ID]" caption="Order_ID" attribute="1" defaultMemberUniqueName="[SalesData].[Order_ID].[All]" allUniqueName="[SalesData].[Order_ID].[All]" dimensionUniqueName="[SalesData]" displayFolder="" count="0" memberValueDatatype="20" unbalanced="0"/>
    <cacheHierarchy uniqueName="[SalesData].[Customer_Name]" caption="Customer_Name" attribute="1" defaultMemberUniqueName="[SalesData].[Customer_Name].[All]" allUniqueName="[SalesData].[Customer_Name].[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iPhone_Model]" caption="iPhone_Model" attribute="1" defaultMemberUniqueName="[SalesData].[iPhone_Model].[All]" allUniqueName="[SalesData].[iPhone_Model].[All]" dimensionUniqueName="[SalesData]" displayFolder="" count="2" memberValueDatatype="130" unbalanced="0"/>
    <cacheHierarchy uniqueName="[SalesData].[Storage]" caption="Storage" attribute="1" defaultMemberUniqueName="[SalesData].[Storage].[All]" allUniqueName="[SalesData].[Storage].[All]" dimensionUniqueName="[SalesData]" displayFolder="" count="2" memberValueDatatype="130" unbalanced="0"/>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ice]" caption="Price" attribute="1" defaultMemberUniqueName="[SalesData].[Price].[All]" allUniqueName="[SalesData].[Price].[All]" dimensionUniqueName="[SalesData]" displayFolder="" count="0" memberValueDatatype="20" unbalanced="0"/>
    <cacheHierarchy uniqueName="[SalesData].[Sale_Date]" caption="Sale_Date" attribute="1" time="1" defaultMemberUniqueName="[SalesData].[Sale_Date].[All]" allUniqueName="[SalesData].[Sale_Dat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Revenue]" caption="Revenue" attribute="1" defaultMemberUniqueName="[SalesData].[Revenue].[All]" allUniqueName="[SalesData].[Revenue].[All]" dimensionUniqueName="[SalesData]" displayFolder="" count="0" memberValueDatatype="20" unbalanced="0"/>
    <cacheHierarchy uniqueName="[SalesData].[Sale_Date (Month)]" caption="Sale_Date (Month)" attribute="1" defaultMemberUniqueName="[SalesData].[Sale_Date (Month)].[All]" allUniqueName="[SalesData].[Sale_Date (Month)].[All]" dimensionUniqueName="[SalesData]" displayFolder="" count="0" memberValueDatatype="130" unbalanced="0"/>
    <cacheHierarchy uniqueName="[SalesData].[Sale_Date (Month Index)]" caption="Sale_Date (Month Index)" attribute="1" defaultMemberUniqueName="[SalesData].[Sale_Date (Month Index)].[All]" allUniqueName="[SalesData].[Sale_Date (Month Index)].[All]" dimensionUniqueName="[SalesData]" displayFolder="" count="0"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5820559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moharami" refreshedDate="46180.582331018515" backgroundQuery="1" createdVersion="3" refreshedVersion="7" minRefreshableVersion="3" recordCount="0" supportSubquery="1" supportAdvancedDrill="1" xr:uid="{A2427866-0C22-4AF7-952E-C5EB668C30F4}">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Measures]" caption="Measures" attribute="1" keyAttribute="1" defaultMemberUniqueName="[Measures].[__No measures defined]" dimensionUniqueName="[Measures]" displayFolder="" measures="1" count="1" memberValueDatatype="130" unbalanced="0"/>
    <cacheHierarchy uniqueName="[Range].[iPhone_Model]" caption="iPhone_Model" attribute="1" defaultMemberUniqueName="[Range].[iPhone_Model].[All]" allUniqueName="[Range].[iPhone_Model].[All]" dimensionUniqueName="[Range]" displayFolder="" count="2" memberValueDatatype="130" unbalanced="0"/>
    <cacheHierarchy uniqueName="[SalesData].[Order_ID]" caption="Order_ID" attribute="1" defaultMemberUniqueName="[SalesData].[Order_ID].[All]" allUniqueName="[SalesData].[Order_ID].[All]" dimensionUniqueName="[SalesData]" displayFolder="" count="2" memberValueDatatype="20" unbalanced="0"/>
    <cacheHierarchy uniqueName="[SalesData].[Customer_Name]" caption="Customer_Name" attribute="1" defaultMemberUniqueName="[SalesData].[Customer_Name].[All]" allUniqueName="[SalesData].[Customer_Name].[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iPhone_Model]" caption="iPhone_Model" attribute="1" defaultMemberUniqueName="[SalesData].[iPhone_Model].[All]" allUniqueName="[SalesData].[iPhone_Model].[All]" dimensionUniqueName="[SalesData]" displayFolder="" count="2" memberValueDatatype="130" unbalanced="0"/>
    <cacheHierarchy uniqueName="[SalesData].[Storage]" caption="Storage" attribute="1" defaultMemberUniqueName="[SalesData].[Storage].[All]" allUniqueName="[SalesData].[Storage].[All]" dimensionUniqueName="[SalesData]" displayFolder="" count="2" memberValueDatatype="130" unbalanced="0"/>
    <cacheHierarchy uniqueName="[SalesData].[Color]" caption="Color" attribute="1" defaultMemberUniqueName="[SalesData].[Color].[All]" allUniqueName="[SalesData].[Color].[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ice]" caption="Price" attribute="1" defaultMemberUniqueName="[SalesData].[Price].[All]" allUniqueName="[SalesData].[Price].[All]" dimensionUniqueName="[SalesData]" displayFolder="" count="2" memberValueDatatype="20" unbalanced="0"/>
    <cacheHierarchy uniqueName="[SalesData].[Sale_Date]" caption="Sale_Date" attribute="1" time="1" defaultMemberUniqueName="[SalesData].[Sale_Date].[All]" allUniqueName="[SalesData].[Sale_Date].[All]" dimensionUniqueName="[SalesData]" displayFolder="" count="2"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Revenue]" caption="Revenue" attribute="1" defaultMemberUniqueName="[SalesData].[Revenue].[All]" allUniqueName="[SalesData].[Revenue].[All]" dimensionUniqueName="[SalesData]" displayFolder="" count="2" memberValueDatatype="20" unbalanced="0"/>
    <cacheHierarchy uniqueName="[SalesData].[Sale_Date (Month)]" caption="Sale_Date (Month)" attribute="1" defaultMemberUniqueName="[SalesData].[Sale_Date (Month)].[All]" allUniqueName="[SalesData].[Sale_Date (Month)].[All]" dimensionUniqueName="[SalesData]" displayFolder="" count="2" memberValueDatatype="130" unbalanced="0"/>
    <cacheHierarchy uniqueName="[SalesData].[Sale_Date (Month Index)]" caption="Sale_Date (Month Index)" attribute="1" defaultMemberUniqueName="[SalesData].[Sale_Date (Month Index)].[All]" allUniqueName="[SalesData].[Sale_Date (Month Index)].[All]" dimensionUniqueName="[SalesData]" displayFolder="" count="2" memberValueDatatype="20" unbalanced="0" hidden="1"/>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pivotCacheId="8768120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A7FFB-05C8-4DBA-ABB0-C74BAEFD7CF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F5BF7-6803-435D-93EE-7D627EC8D51B}"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4:G1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Quantity" fld="0" baseField="0" baseItem="0"/>
    <dataField name="Sum of Revenue" fld="1" baseField="0" baseItem="0"/>
  </dataFields>
  <formats count="3">
    <format dxfId="8">
      <pivotArea type="all" dataOnly="0" outline="0" fieldPosition="0"/>
    </format>
    <format dxfId="7">
      <pivotArea outline="0" collapsedLevelsAreSubtotals="1" fieldPosition="0"/>
    </format>
    <format dxfId="6">
      <pivotArea dataOnly="0" labelOnly="1" outline="0" fieldPosition="0">
        <references count="1">
          <reference field="4294967294" count="2">
            <x v="0"/>
            <x v="1"/>
          </reference>
        </references>
      </pivotArea>
    </format>
  </formats>
  <pivotHierarchies count="19">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8C374-5B49-4D71-981C-411E0A3E521F}"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3:G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0"/>
  </dataFields>
  <formats count="6">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63C3B-D40E-49B3-B95D-45E8C4D2CE82}"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5:B31" firstHeaderRow="1" firstDataRow="1" firstDataCol="1"/>
  <pivotFields count="3">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formats count="6">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25A92D-A51E-491D-8420-5A0E520C2D4B}"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4:B2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B446B0-CC00-4E83-959D-9208D62AC2B9}" autoFormatId="16" applyNumberFormats="0" applyBorderFormats="0" applyFontFormats="0" applyPatternFormats="0" applyAlignmentFormats="0" applyWidthHeightFormats="0">
  <queryTableRefresh nextId="12" unboundColumnsRight="1">
    <queryTableFields count="11">
      <queryTableField id="1" name="Order_ID" tableColumnId="1"/>
      <queryTableField id="2" name="Customer_Name" tableColumnId="2"/>
      <queryTableField id="3" name="Country" tableColumnId="3"/>
      <queryTableField id="4" name="iPhone_Model" tableColumnId="4"/>
      <queryTableField id="5" name="Storage" tableColumnId="5"/>
      <queryTableField id="6" name="Color" tableColumnId="6"/>
      <queryTableField id="7" name="Quantity" tableColumnId="7"/>
      <queryTableField id="8" name="Price" tableColumnId="8"/>
      <queryTableField id="9" name="Sale_Date" tableColumnId="9"/>
      <queryTableField id="10" name="Payment_Method"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3D56421-0F9B-4931-B79E-9567B8381283}" sourceName="[SalesData].[Country]">
  <pivotTables>
    <pivotTable tabId="3" name="PivotTable2"/>
    <pivotTable tabId="3" name="PivotTable3"/>
    <pivotTable tabId="3" name="PivotTable4"/>
    <pivotTable tabId="3" name="PivotTable5"/>
    <pivotTable tabId="3" name="PivotTable6"/>
  </pivotTables>
  <data>
    <olap pivotCacheId="458205594">
      <levels count="2">
        <level uniqueName="[SalesData].[Country].[(All)]" sourceCaption="(All)" count="0"/>
        <level uniqueName="[SalesData].[Country].[Country]" sourceCaption="Country" count="6">
          <ranges>
            <range startItem="0">
              <i n="[SalesData].[Country].&amp;[Canada]" c="Canada"/>
              <i n="[SalesData].[Country].&amp;[Germany]" c="Germany"/>
              <i n="[SalesData].[Country].&amp;[Pakistan]" c="Pakistan"/>
              <i n="[SalesData].[Country].&amp;[UAE]" c="UAE"/>
              <i n="[SalesData].[Country].&amp;[UK]" c="UK"/>
              <i n="[SalesData].[Country].&amp;[USA]" c="USA"/>
            </range>
          </ranges>
        </level>
      </levels>
      <selections count="1">
        <selection n="[SalesData].[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hone_Model" xr10:uid="{BDD78DA0-4215-4735-AA22-2118E4B7BE9C}" sourceName="[SalesData].[iPhone_Model]">
  <pivotTables>
    <pivotTable tabId="3" name="PivotTable2"/>
    <pivotTable tabId="3" name="PivotTable3"/>
    <pivotTable tabId="3" name="PivotTable4"/>
    <pivotTable tabId="3" name="PivotTable5"/>
    <pivotTable tabId="3" name="PivotTable6"/>
  </pivotTables>
  <data>
    <olap pivotCacheId="458205594">
      <levels count="2">
        <level uniqueName="[SalesData].[iPhone_Model].[(All)]" sourceCaption="(All)" count="0"/>
        <level uniqueName="[SalesData].[iPhone_Model].[iPhone_Model]" sourceCaption="iPhone_Model" count="6">
          <ranges>
            <range startItem="0">
              <i n="[SalesData].[iPhone_Model].&amp;[iPhone 12]" c="iPhone 12"/>
              <i n="[SalesData].[iPhone_Model].&amp;[iPhone 13]" c="iPhone 13"/>
              <i n="[SalesData].[iPhone_Model].&amp;[iPhone 14]" c="iPhone 14"/>
              <i n="[SalesData].[iPhone_Model].&amp;[iPhone 14 Pro]" c="iPhone 14 Pro"/>
              <i n="[SalesData].[iPhone_Model].&amp;[iPhone 15]" c="iPhone 15"/>
              <i n="[SalesData].[iPhone_Model].&amp;[iPhone 15 Pro Max]" c="iPhone 15 Pro Max"/>
            </range>
          </ranges>
        </level>
      </levels>
      <selections count="1">
        <selection n="[SalesData].[iPhone_Mod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 xr10:uid="{3CC29E02-92E9-427E-BCBE-42DDA9E4DDB2}" sourceName="[SalesData].[Storage]">
  <pivotTables>
    <pivotTable tabId="3" name="PivotTable2"/>
    <pivotTable tabId="3" name="PivotTable3"/>
    <pivotTable tabId="3" name="PivotTable4"/>
    <pivotTable tabId="3" name="PivotTable5"/>
    <pivotTable tabId="3" name="PivotTable6"/>
  </pivotTables>
  <data>
    <olap pivotCacheId="458205594">
      <levels count="2">
        <level uniqueName="[SalesData].[Storage].[(All)]" sourceCaption="(All)" count="0"/>
        <level uniqueName="[SalesData].[Storage].[Storage]" sourceCaption="Storage" count="3">
          <ranges>
            <range startItem="0">
              <i n="[SalesData].[Storage].&amp;[128GB]" c="128GB"/>
              <i n="[SalesData].[Storage].&amp;[256GB]" c="256GB"/>
              <i n="[SalesData].[Storage].&amp;[512GB]" c="512GB"/>
            </range>
          </ranges>
        </level>
      </levels>
      <selections count="1">
        <selection n="[SalesData].[Storag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F1581C38-36E7-4404-B885-6030F422E6B6}" sourceName="[SalesData].[Color]">
  <pivotTables>
    <pivotTable tabId="3" name="PivotTable2"/>
    <pivotTable tabId="3" name="PivotTable3"/>
    <pivotTable tabId="3" name="PivotTable4"/>
    <pivotTable tabId="3" name="PivotTable5"/>
    <pivotTable tabId="3" name="PivotTable6"/>
  </pivotTables>
  <data>
    <olap pivotCacheId="458205594">
      <levels count="2">
        <level uniqueName="[SalesData].[Color].[(All)]" sourceCaption="(All)" count="0"/>
        <level uniqueName="[SalesData].[Color].[Color]" sourceCaption="Color" count="5">
          <ranges>
            <range startItem="0">
              <i n="[SalesData].[Color].&amp;[Black]" c="Black"/>
              <i n="[SalesData].[Color].&amp;[Blue]" c="Blue"/>
              <i n="[SalesData].[Color].&amp;[Purple]" c="Purple"/>
              <i n="[SalesData].[Color].&amp;[Red]" c="Red"/>
              <i n="[SalesData].[Color].&amp;[White]" c="White"/>
            </range>
          </ranges>
        </level>
      </levels>
      <selections count="1">
        <selection n="[SalesData].[Colo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8ACB61A-6E04-4287-B8EA-536EA92B414C}" sourceName="[SalesData].[Payment_Method]">
  <pivotTables>
    <pivotTable tabId="3" name="PivotTable2"/>
    <pivotTable tabId="3" name="PivotTable3"/>
    <pivotTable tabId="3" name="PivotTable4"/>
    <pivotTable tabId="3" name="PivotTable5"/>
    <pivotTable tabId="3" name="PivotTable6"/>
  </pivotTables>
  <data>
    <olap pivotCacheId="458205594">
      <levels count="2">
        <level uniqueName="[SalesData].[Payment_Method].[(All)]" sourceCaption="(All)" count="0"/>
        <level uniqueName="[SalesData].[Payment_Method].[Payment_Method]" sourceCaption="Payment_Method" count="4">
          <ranges>
            <range startItem="0">
              <i n="[SalesData].[Payment_Method].&amp;[Cash]" c="Cash"/>
              <i n="[SalesData].[Payment_Method].&amp;[Credit Card]" c="Credit Card"/>
              <i n="[SalesData].[Payment_Method].&amp;[Debit Card]" c="Debit Card"/>
              <i n="[SalesData].[Payment_Method].&amp;[PayPal]" c="PayPal"/>
            </range>
          </ranges>
        </level>
      </levels>
      <selections count="1">
        <selection n="[SalesData].[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B5CABB-420D-4C5B-8DAB-8210E0A0D686}" cache="Slicer_Country" caption="Country" level="1" rowHeight="241300"/>
  <slicer name="iPhone_Model" xr10:uid="{5699C2CE-6D01-4A63-A057-7A244D280837}" cache="Slicer_iPhone_Model" caption="iPhone_Model" level="1" rowHeight="241300"/>
  <slicer name="Storage" xr10:uid="{5C31BDCD-8BEA-40D3-A203-9500710C73A4}" cache="Slicer_Storage" caption="Storage" level="1" rowHeight="241300"/>
  <slicer name="Color" xr10:uid="{4DD09FD2-AD0A-42E2-AD92-4912B5057047}" cache="Slicer_Color" caption="Color" level="1" rowHeight="241300"/>
  <slicer name="Payment_Method" xr10:uid="{E85F4939-8B69-42FD-A858-3826C3BFED88}" cache="Slicer_Payment_Method" caption="Payment_Metho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1624FA5-4C8F-4EF6-8BFC-CE03F79105FC}" cache="Slicer_Country" caption="Country" level="1" rowHeight="241300"/>
  <slicer name="iPhone_Model 1" xr10:uid="{706EE5B1-3FAE-4203-A000-BBADCAB72B78}" cache="Slicer_iPhone_Model" caption="iPhone_Model" level="1" rowHeight="241300"/>
  <slicer name="Storage 1" xr10:uid="{AD24639F-F3B7-4A60-A457-44368F0F7570}" cache="Slicer_Storage" caption="Storage" level="1" rowHeight="241300"/>
  <slicer name="Color 1" xr10:uid="{4CCDE958-32A5-464F-A014-B8BF91927A10}" cache="Slicer_Color" caption="Color" level="1" rowHeight="241300"/>
  <slicer name="Payment_Method 1" xr10:uid="{D672E478-A0EB-496D-B192-12E07359A2E4}" cache="Slicer_Payment_Method" caption="Payment_Method"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F022DF-F8D5-491B-BE44-85B73249D456}" name="SalesData" displayName="SalesData" ref="A1:K101" tableType="queryTable" totalsRowShown="0" headerRowDxfId="39" dataDxfId="38">
  <autoFilter ref="A1:K101" xr:uid="{80F022DF-F8D5-491B-BE44-85B73249D456}"/>
  <tableColumns count="11">
    <tableColumn id="1" xr3:uid="{62692A1F-798C-4B03-A0A6-DE87A4260BF2}" uniqueName="1" name="Order_ID" queryTableFieldId="1" dataDxfId="37"/>
    <tableColumn id="2" xr3:uid="{3E552723-6BAD-48DF-AB99-1F1AD4786B6B}" uniqueName="2" name="Customer_Name" queryTableFieldId="2" dataDxfId="36"/>
    <tableColumn id="3" xr3:uid="{FB59C59C-3EB9-4B68-9334-4DA50ADDA4F0}" uniqueName="3" name="Country" queryTableFieldId="3" dataDxfId="35"/>
    <tableColumn id="4" xr3:uid="{BCA949BE-BCD8-475A-931F-EB88D74A0879}" uniqueName="4" name="iPhone_Model" queryTableFieldId="4" dataDxfId="34"/>
    <tableColumn id="5" xr3:uid="{B0571F9A-038E-4157-AEAE-FE0CB267A7DF}" uniqueName="5" name="Storage" queryTableFieldId="5" dataDxfId="33"/>
    <tableColumn id="6" xr3:uid="{5AC76B4E-AED8-4792-BB6E-B87DFB0EC6CA}" uniqueName="6" name="Color" queryTableFieldId="6" dataDxfId="32"/>
    <tableColumn id="7" xr3:uid="{51BC55BE-9053-42D1-9F79-EB6C62E64A00}" uniqueName="7" name="Quantity" queryTableFieldId="7" dataDxfId="31"/>
    <tableColumn id="8" xr3:uid="{682F8F6A-E752-475B-ABFC-257028B6B4EF}" uniqueName="8" name="Price" queryTableFieldId="8" dataDxfId="30"/>
    <tableColumn id="9" xr3:uid="{62B2970A-7158-4A22-A5C7-33520B86292B}" uniqueName="9" name="Sale_Date" queryTableFieldId="9" dataDxfId="29"/>
    <tableColumn id="10" xr3:uid="{DA076650-9544-49E5-A515-F299DB04676F}" uniqueName="10" name="Payment_Method" queryTableFieldId="10" dataDxfId="28"/>
    <tableColumn id="11" xr3:uid="{18189C8B-A858-49F6-A271-1EF1D914FF75}" uniqueName="11" name="Revenue" queryTableFieldId="11" dataDxfId="27">
      <calculatedColumnFormula>SalesData[[#This Row],[Quantity]]*SalesData[[#This Row],[Price]]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_Date" xr10:uid="{B3DFC776-857A-4941-A012-A883FB88850B}" sourceName="[SalesData].[Sale_Date]">
  <state minimalRefreshVersion="6" lastRefreshVersion="6" pivotCacheId="876812094" filterType="dateBetween">
    <selection startDate="2025-05-01T00:00:00" endDate="2025-05-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B46B596C-8517-4FDB-98C9-D9A3765EFD2F}" cache="Timeline_Sale_Date" caption="Sale_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1" xr10:uid="{3A7567EE-FBED-424B-8F53-7C402704B2B4}" cache="Timeline_Sale_Date" caption="Sale_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A4A5-827A-42EB-923B-5F660EFCECFD}">
  <dimension ref="A1:K101"/>
  <sheetViews>
    <sheetView workbookViewId="0">
      <selection activeCell="M7" sqref="M7"/>
    </sheetView>
  </sheetViews>
  <sheetFormatPr defaultRowHeight="15" x14ac:dyDescent="0.25"/>
  <cols>
    <col min="1" max="1" width="11.28515625" bestFit="1" customWidth="1"/>
    <col min="2" max="2" width="18.28515625" bestFit="1" customWidth="1"/>
    <col min="3" max="3" width="10.28515625" bestFit="1" customWidth="1"/>
    <col min="4" max="4" width="17.5703125" bestFit="1" customWidth="1"/>
    <col min="5" max="5" width="10" bestFit="1" customWidth="1"/>
    <col min="6" max="6" width="8" bestFit="1" customWidth="1"/>
    <col min="7" max="7" width="11" bestFit="1" customWidth="1"/>
    <col min="8" max="8" width="7.7109375" bestFit="1" customWidth="1"/>
    <col min="9" max="9" width="12.140625" bestFit="1" customWidth="1"/>
    <col min="10" max="10" width="19.5703125" bestFit="1" customWidth="1"/>
    <col min="11" max="11" width="13.42578125" customWidth="1"/>
  </cols>
  <sheetData>
    <row r="1" spans="1:11" x14ac:dyDescent="0.25">
      <c r="A1" s="1" t="s">
        <v>0</v>
      </c>
      <c r="B1" s="1" t="s">
        <v>1</v>
      </c>
      <c r="C1" s="1" t="s">
        <v>2</v>
      </c>
      <c r="D1" s="1" t="s">
        <v>3</v>
      </c>
      <c r="E1" s="1" t="s">
        <v>4</v>
      </c>
      <c r="F1" s="1" t="s">
        <v>5</v>
      </c>
      <c r="G1" s="1" t="s">
        <v>6</v>
      </c>
      <c r="H1" s="1" t="s">
        <v>7</v>
      </c>
      <c r="I1" s="1" t="s">
        <v>8</v>
      </c>
      <c r="J1" s="1" t="s">
        <v>9</v>
      </c>
      <c r="K1" s="1" t="s">
        <v>134</v>
      </c>
    </row>
    <row r="2" spans="1:11" x14ac:dyDescent="0.25">
      <c r="A2" s="1">
        <v>1001</v>
      </c>
      <c r="B2" s="2" t="s">
        <v>10</v>
      </c>
      <c r="C2" s="2" t="s">
        <v>11</v>
      </c>
      <c r="D2" s="2" t="s">
        <v>12</v>
      </c>
      <c r="E2" s="2" t="s">
        <v>13</v>
      </c>
      <c r="F2" s="2" t="s">
        <v>14</v>
      </c>
      <c r="G2" s="1">
        <v>5</v>
      </c>
      <c r="H2" s="1">
        <v>1817</v>
      </c>
      <c r="I2" s="3">
        <v>45778</v>
      </c>
      <c r="J2" s="2" t="s">
        <v>15</v>
      </c>
      <c r="K2" s="1">
        <f>SalesData[[#This Row],[Quantity]]*SalesData[[#This Row],[Price]]</f>
        <v>9085</v>
      </c>
    </row>
    <row r="3" spans="1:11" x14ac:dyDescent="0.25">
      <c r="A3" s="1">
        <v>1002</v>
      </c>
      <c r="B3" s="2" t="s">
        <v>16</v>
      </c>
      <c r="C3" s="2" t="s">
        <v>17</v>
      </c>
      <c r="D3" s="2" t="s">
        <v>18</v>
      </c>
      <c r="E3" s="2" t="s">
        <v>13</v>
      </c>
      <c r="F3" s="2" t="s">
        <v>19</v>
      </c>
      <c r="G3" s="1">
        <v>1</v>
      </c>
      <c r="H3" s="1">
        <v>998</v>
      </c>
      <c r="I3" s="3">
        <v>45721</v>
      </c>
      <c r="J3" s="2" t="s">
        <v>20</v>
      </c>
      <c r="K3" s="1">
        <f>SalesData[[#This Row],[Quantity]]*SalesData[[#This Row],[Price]]</f>
        <v>998</v>
      </c>
    </row>
    <row r="4" spans="1:11" x14ac:dyDescent="0.25">
      <c r="A4" s="1">
        <v>1003</v>
      </c>
      <c r="B4" s="2" t="s">
        <v>21</v>
      </c>
      <c r="C4" s="2" t="s">
        <v>17</v>
      </c>
      <c r="D4" s="2" t="s">
        <v>22</v>
      </c>
      <c r="E4" s="2" t="s">
        <v>23</v>
      </c>
      <c r="F4" s="2" t="s">
        <v>24</v>
      </c>
      <c r="G4" s="1">
        <v>5</v>
      </c>
      <c r="H4" s="1">
        <v>876</v>
      </c>
      <c r="I4" s="3">
        <v>45682</v>
      </c>
      <c r="J4" s="2" t="s">
        <v>25</v>
      </c>
      <c r="K4" s="1">
        <f>SalesData[[#This Row],[Quantity]]*SalesData[[#This Row],[Price]]</f>
        <v>4380</v>
      </c>
    </row>
    <row r="5" spans="1:11" x14ac:dyDescent="0.25">
      <c r="A5" s="1">
        <v>1004</v>
      </c>
      <c r="B5" s="2" t="s">
        <v>26</v>
      </c>
      <c r="C5" s="2" t="s">
        <v>11</v>
      </c>
      <c r="D5" s="2" t="s">
        <v>22</v>
      </c>
      <c r="E5" s="2" t="s">
        <v>23</v>
      </c>
      <c r="F5" s="2" t="s">
        <v>24</v>
      </c>
      <c r="G5" s="1">
        <v>2</v>
      </c>
      <c r="H5" s="1">
        <v>1290</v>
      </c>
      <c r="I5" s="3">
        <v>45740</v>
      </c>
      <c r="J5" s="2" t="s">
        <v>15</v>
      </c>
      <c r="K5" s="1">
        <f>SalesData[[#This Row],[Quantity]]*SalesData[[#This Row],[Price]]</f>
        <v>2580</v>
      </c>
    </row>
    <row r="6" spans="1:11" x14ac:dyDescent="0.25">
      <c r="A6" s="1">
        <v>1005</v>
      </c>
      <c r="B6" s="2" t="s">
        <v>27</v>
      </c>
      <c r="C6" s="2" t="s">
        <v>11</v>
      </c>
      <c r="D6" s="2" t="s">
        <v>28</v>
      </c>
      <c r="E6" s="2" t="s">
        <v>29</v>
      </c>
      <c r="F6" s="2" t="s">
        <v>19</v>
      </c>
      <c r="G6" s="1">
        <v>3</v>
      </c>
      <c r="H6" s="1">
        <v>1092</v>
      </c>
      <c r="I6" s="3">
        <v>45689</v>
      </c>
      <c r="J6" s="2" t="s">
        <v>15</v>
      </c>
      <c r="K6" s="1">
        <f>SalesData[[#This Row],[Quantity]]*SalesData[[#This Row],[Price]]</f>
        <v>3276</v>
      </c>
    </row>
    <row r="7" spans="1:11" x14ac:dyDescent="0.25">
      <c r="A7" s="1">
        <v>1006</v>
      </c>
      <c r="B7" s="2" t="s">
        <v>30</v>
      </c>
      <c r="C7" s="2" t="s">
        <v>31</v>
      </c>
      <c r="D7" s="2" t="s">
        <v>32</v>
      </c>
      <c r="E7" s="2" t="s">
        <v>13</v>
      </c>
      <c r="F7" s="2" t="s">
        <v>33</v>
      </c>
      <c r="G7" s="1">
        <v>5</v>
      </c>
      <c r="H7" s="1">
        <v>1939</v>
      </c>
      <c r="I7" s="3">
        <v>45703</v>
      </c>
      <c r="J7" s="2" t="s">
        <v>15</v>
      </c>
      <c r="K7" s="1">
        <f>SalesData[[#This Row],[Quantity]]*SalesData[[#This Row],[Price]]</f>
        <v>9695</v>
      </c>
    </row>
    <row r="8" spans="1:11" x14ac:dyDescent="0.25">
      <c r="A8" s="1">
        <v>1007</v>
      </c>
      <c r="B8" s="2" t="s">
        <v>34</v>
      </c>
      <c r="C8" s="2" t="s">
        <v>35</v>
      </c>
      <c r="D8" s="2" t="s">
        <v>32</v>
      </c>
      <c r="E8" s="2" t="s">
        <v>23</v>
      </c>
      <c r="F8" s="2" t="s">
        <v>19</v>
      </c>
      <c r="G8" s="1">
        <v>1</v>
      </c>
      <c r="H8" s="1">
        <v>1798</v>
      </c>
      <c r="I8" s="3">
        <v>45701</v>
      </c>
      <c r="J8" s="2" t="s">
        <v>15</v>
      </c>
      <c r="K8" s="1">
        <f>SalesData[[#This Row],[Quantity]]*SalesData[[#This Row],[Price]]</f>
        <v>1798</v>
      </c>
    </row>
    <row r="9" spans="1:11" x14ac:dyDescent="0.25">
      <c r="A9" s="1">
        <v>1008</v>
      </c>
      <c r="B9" s="2" t="s">
        <v>36</v>
      </c>
      <c r="C9" s="2" t="s">
        <v>37</v>
      </c>
      <c r="D9" s="2" t="s">
        <v>22</v>
      </c>
      <c r="E9" s="2" t="s">
        <v>29</v>
      </c>
      <c r="F9" s="2" t="s">
        <v>14</v>
      </c>
      <c r="G9" s="1">
        <v>3</v>
      </c>
      <c r="H9" s="1">
        <v>1808</v>
      </c>
      <c r="I9" s="3">
        <v>45746</v>
      </c>
      <c r="J9" s="2" t="s">
        <v>15</v>
      </c>
      <c r="K9" s="1">
        <f>SalesData[[#This Row],[Quantity]]*SalesData[[#This Row],[Price]]</f>
        <v>5424</v>
      </c>
    </row>
    <row r="10" spans="1:11" x14ac:dyDescent="0.25">
      <c r="A10" s="1">
        <v>1009</v>
      </c>
      <c r="B10" s="2" t="s">
        <v>38</v>
      </c>
      <c r="C10" s="2" t="s">
        <v>31</v>
      </c>
      <c r="D10" s="2" t="s">
        <v>18</v>
      </c>
      <c r="E10" s="2" t="s">
        <v>23</v>
      </c>
      <c r="F10" s="2" t="s">
        <v>14</v>
      </c>
      <c r="G10" s="1">
        <v>2</v>
      </c>
      <c r="H10" s="1">
        <v>1381</v>
      </c>
      <c r="I10" s="3">
        <v>45722</v>
      </c>
      <c r="J10" s="2" t="s">
        <v>15</v>
      </c>
      <c r="K10" s="1">
        <f>SalesData[[#This Row],[Quantity]]*SalesData[[#This Row],[Price]]</f>
        <v>2762</v>
      </c>
    </row>
    <row r="11" spans="1:11" x14ac:dyDescent="0.25">
      <c r="A11" s="1">
        <v>1010</v>
      </c>
      <c r="B11" s="2" t="s">
        <v>39</v>
      </c>
      <c r="C11" s="2" t="s">
        <v>40</v>
      </c>
      <c r="D11" s="2" t="s">
        <v>32</v>
      </c>
      <c r="E11" s="2" t="s">
        <v>29</v>
      </c>
      <c r="F11" s="2" t="s">
        <v>33</v>
      </c>
      <c r="G11" s="1">
        <v>5</v>
      </c>
      <c r="H11" s="1">
        <v>1670</v>
      </c>
      <c r="I11" s="3">
        <v>45713</v>
      </c>
      <c r="J11" s="2" t="s">
        <v>15</v>
      </c>
      <c r="K11" s="1">
        <f>SalesData[[#This Row],[Quantity]]*SalesData[[#This Row],[Price]]</f>
        <v>8350</v>
      </c>
    </row>
    <row r="12" spans="1:11" x14ac:dyDescent="0.25">
      <c r="A12" s="1">
        <v>1011</v>
      </c>
      <c r="B12" s="2" t="s">
        <v>41</v>
      </c>
      <c r="C12" s="2" t="s">
        <v>37</v>
      </c>
      <c r="D12" s="2" t="s">
        <v>22</v>
      </c>
      <c r="E12" s="2" t="s">
        <v>13</v>
      </c>
      <c r="F12" s="2" t="s">
        <v>42</v>
      </c>
      <c r="G12" s="1">
        <v>5</v>
      </c>
      <c r="H12" s="1">
        <v>1857</v>
      </c>
      <c r="I12" s="3">
        <v>45685</v>
      </c>
      <c r="J12" s="2" t="s">
        <v>20</v>
      </c>
      <c r="K12" s="1">
        <f>SalesData[[#This Row],[Quantity]]*SalesData[[#This Row],[Price]]</f>
        <v>9285</v>
      </c>
    </row>
    <row r="13" spans="1:11" x14ac:dyDescent="0.25">
      <c r="A13" s="1">
        <v>1012</v>
      </c>
      <c r="B13" s="2" t="s">
        <v>43</v>
      </c>
      <c r="C13" s="2" t="s">
        <v>11</v>
      </c>
      <c r="D13" s="2" t="s">
        <v>44</v>
      </c>
      <c r="E13" s="2" t="s">
        <v>29</v>
      </c>
      <c r="F13" s="2" t="s">
        <v>24</v>
      </c>
      <c r="G13" s="1">
        <v>3</v>
      </c>
      <c r="H13" s="1">
        <v>1572</v>
      </c>
      <c r="I13" s="3">
        <v>45741</v>
      </c>
      <c r="J13" s="2" t="s">
        <v>45</v>
      </c>
      <c r="K13" s="1">
        <f>SalesData[[#This Row],[Quantity]]*SalesData[[#This Row],[Price]]</f>
        <v>4716</v>
      </c>
    </row>
    <row r="14" spans="1:11" x14ac:dyDescent="0.25">
      <c r="A14" s="1">
        <v>1013</v>
      </c>
      <c r="B14" s="2" t="s">
        <v>46</v>
      </c>
      <c r="C14" s="2" t="s">
        <v>35</v>
      </c>
      <c r="D14" s="2" t="s">
        <v>18</v>
      </c>
      <c r="E14" s="2" t="s">
        <v>23</v>
      </c>
      <c r="F14" s="2" t="s">
        <v>19</v>
      </c>
      <c r="G14" s="1">
        <v>3</v>
      </c>
      <c r="H14" s="1">
        <v>1868</v>
      </c>
      <c r="I14" s="3">
        <v>45706</v>
      </c>
      <c r="J14" s="2" t="s">
        <v>20</v>
      </c>
      <c r="K14" s="1">
        <f>SalesData[[#This Row],[Quantity]]*SalesData[[#This Row],[Price]]</f>
        <v>5604</v>
      </c>
    </row>
    <row r="15" spans="1:11" x14ac:dyDescent="0.25">
      <c r="A15" s="1">
        <v>1014</v>
      </c>
      <c r="B15" s="2" t="s">
        <v>47</v>
      </c>
      <c r="C15" s="2" t="s">
        <v>11</v>
      </c>
      <c r="D15" s="2" t="s">
        <v>18</v>
      </c>
      <c r="E15" s="2" t="s">
        <v>23</v>
      </c>
      <c r="F15" s="2" t="s">
        <v>24</v>
      </c>
      <c r="G15" s="1">
        <v>3</v>
      </c>
      <c r="H15" s="1">
        <v>1743</v>
      </c>
      <c r="I15" s="3">
        <v>45674</v>
      </c>
      <c r="J15" s="2" t="s">
        <v>25</v>
      </c>
      <c r="K15" s="1">
        <f>SalesData[[#This Row],[Quantity]]*SalesData[[#This Row],[Price]]</f>
        <v>5229</v>
      </c>
    </row>
    <row r="16" spans="1:11" x14ac:dyDescent="0.25">
      <c r="A16" s="1">
        <v>1015</v>
      </c>
      <c r="B16" s="2" t="s">
        <v>48</v>
      </c>
      <c r="C16" s="2" t="s">
        <v>31</v>
      </c>
      <c r="D16" s="2" t="s">
        <v>32</v>
      </c>
      <c r="E16" s="2" t="s">
        <v>13</v>
      </c>
      <c r="F16" s="2" t="s">
        <v>19</v>
      </c>
      <c r="G16" s="1">
        <v>1</v>
      </c>
      <c r="H16" s="1">
        <v>1544</v>
      </c>
      <c r="I16" s="3">
        <v>45684</v>
      </c>
      <c r="J16" s="2" t="s">
        <v>25</v>
      </c>
      <c r="K16" s="1">
        <f>SalesData[[#This Row],[Quantity]]*SalesData[[#This Row],[Price]]</f>
        <v>1544</v>
      </c>
    </row>
    <row r="17" spans="1:11" x14ac:dyDescent="0.25">
      <c r="A17" s="1">
        <v>1016</v>
      </c>
      <c r="B17" s="2" t="s">
        <v>49</v>
      </c>
      <c r="C17" s="2" t="s">
        <v>31</v>
      </c>
      <c r="D17" s="2" t="s">
        <v>18</v>
      </c>
      <c r="E17" s="2" t="s">
        <v>29</v>
      </c>
      <c r="F17" s="2" t="s">
        <v>19</v>
      </c>
      <c r="G17" s="1">
        <v>4</v>
      </c>
      <c r="H17" s="1">
        <v>1819</v>
      </c>
      <c r="I17" s="3">
        <v>45751</v>
      </c>
      <c r="J17" s="2" t="s">
        <v>15</v>
      </c>
      <c r="K17" s="1">
        <f>SalesData[[#This Row],[Quantity]]*SalesData[[#This Row],[Price]]</f>
        <v>7276</v>
      </c>
    </row>
    <row r="18" spans="1:11" x14ac:dyDescent="0.25">
      <c r="A18" s="1">
        <v>1017</v>
      </c>
      <c r="B18" s="2" t="s">
        <v>50</v>
      </c>
      <c r="C18" s="2" t="s">
        <v>35</v>
      </c>
      <c r="D18" s="2" t="s">
        <v>12</v>
      </c>
      <c r="E18" s="2" t="s">
        <v>23</v>
      </c>
      <c r="F18" s="2" t="s">
        <v>33</v>
      </c>
      <c r="G18" s="1">
        <v>5</v>
      </c>
      <c r="H18" s="1">
        <v>1992</v>
      </c>
      <c r="I18" s="3">
        <v>45775</v>
      </c>
      <c r="J18" s="2" t="s">
        <v>20</v>
      </c>
      <c r="K18" s="1">
        <f>SalesData[[#This Row],[Quantity]]*SalesData[[#This Row],[Price]]</f>
        <v>9960</v>
      </c>
    </row>
    <row r="19" spans="1:11" x14ac:dyDescent="0.25">
      <c r="A19" s="1">
        <v>1018</v>
      </c>
      <c r="B19" s="2" t="s">
        <v>51</v>
      </c>
      <c r="C19" s="2" t="s">
        <v>17</v>
      </c>
      <c r="D19" s="2" t="s">
        <v>32</v>
      </c>
      <c r="E19" s="2" t="s">
        <v>13</v>
      </c>
      <c r="F19" s="2" t="s">
        <v>33</v>
      </c>
      <c r="G19" s="1">
        <v>2</v>
      </c>
      <c r="H19" s="1">
        <v>1003</v>
      </c>
      <c r="I19" s="3">
        <v>45751</v>
      </c>
      <c r="J19" s="2" t="s">
        <v>20</v>
      </c>
      <c r="K19" s="1">
        <f>SalesData[[#This Row],[Quantity]]*SalesData[[#This Row],[Price]]</f>
        <v>2006</v>
      </c>
    </row>
    <row r="20" spans="1:11" x14ac:dyDescent="0.25">
      <c r="A20" s="1">
        <v>1019</v>
      </c>
      <c r="B20" s="2" t="s">
        <v>52</v>
      </c>
      <c r="C20" s="2" t="s">
        <v>31</v>
      </c>
      <c r="D20" s="2" t="s">
        <v>12</v>
      </c>
      <c r="E20" s="2" t="s">
        <v>29</v>
      </c>
      <c r="F20" s="2" t="s">
        <v>14</v>
      </c>
      <c r="G20" s="1">
        <v>1</v>
      </c>
      <c r="H20" s="1">
        <v>1010</v>
      </c>
      <c r="I20" s="3">
        <v>45731</v>
      </c>
      <c r="J20" s="2" t="s">
        <v>15</v>
      </c>
      <c r="K20" s="1">
        <f>SalesData[[#This Row],[Quantity]]*SalesData[[#This Row],[Price]]</f>
        <v>1010</v>
      </c>
    </row>
    <row r="21" spans="1:11" x14ac:dyDescent="0.25">
      <c r="A21" s="1">
        <v>1020</v>
      </c>
      <c r="B21" s="2" t="s">
        <v>53</v>
      </c>
      <c r="C21" s="2" t="s">
        <v>31</v>
      </c>
      <c r="D21" s="2" t="s">
        <v>28</v>
      </c>
      <c r="E21" s="2" t="s">
        <v>13</v>
      </c>
      <c r="F21" s="2" t="s">
        <v>14</v>
      </c>
      <c r="G21" s="1">
        <v>3</v>
      </c>
      <c r="H21" s="1">
        <v>1588</v>
      </c>
      <c r="I21" s="3">
        <v>45743</v>
      </c>
      <c r="J21" s="2" t="s">
        <v>15</v>
      </c>
      <c r="K21" s="1">
        <f>SalesData[[#This Row],[Quantity]]*SalesData[[#This Row],[Price]]</f>
        <v>4764</v>
      </c>
    </row>
    <row r="22" spans="1:11" x14ac:dyDescent="0.25">
      <c r="A22" s="1">
        <v>1021</v>
      </c>
      <c r="B22" s="2" t="s">
        <v>54</v>
      </c>
      <c r="C22" s="2" t="s">
        <v>40</v>
      </c>
      <c r="D22" s="2" t="s">
        <v>28</v>
      </c>
      <c r="E22" s="2" t="s">
        <v>13</v>
      </c>
      <c r="F22" s="2" t="s">
        <v>33</v>
      </c>
      <c r="G22" s="1">
        <v>3</v>
      </c>
      <c r="H22" s="1">
        <v>742</v>
      </c>
      <c r="I22" s="3">
        <v>45728</v>
      </c>
      <c r="J22" s="2" t="s">
        <v>45</v>
      </c>
      <c r="K22" s="1">
        <f>SalesData[[#This Row],[Quantity]]*SalesData[[#This Row],[Price]]</f>
        <v>2226</v>
      </c>
    </row>
    <row r="23" spans="1:11" x14ac:dyDescent="0.25">
      <c r="A23" s="1">
        <v>1022</v>
      </c>
      <c r="B23" s="2" t="s">
        <v>55</v>
      </c>
      <c r="C23" s="2" t="s">
        <v>40</v>
      </c>
      <c r="D23" s="2" t="s">
        <v>28</v>
      </c>
      <c r="E23" s="2" t="s">
        <v>29</v>
      </c>
      <c r="F23" s="2" t="s">
        <v>24</v>
      </c>
      <c r="G23" s="1">
        <v>4</v>
      </c>
      <c r="H23" s="1">
        <v>1627</v>
      </c>
      <c r="I23" s="3">
        <v>45738</v>
      </c>
      <c r="J23" s="2" t="s">
        <v>20</v>
      </c>
      <c r="K23" s="1">
        <f>SalesData[[#This Row],[Quantity]]*SalesData[[#This Row],[Price]]</f>
        <v>6508</v>
      </c>
    </row>
    <row r="24" spans="1:11" x14ac:dyDescent="0.25">
      <c r="A24" s="1">
        <v>1023</v>
      </c>
      <c r="B24" s="2" t="s">
        <v>56</v>
      </c>
      <c r="C24" s="2" t="s">
        <v>11</v>
      </c>
      <c r="D24" s="2" t="s">
        <v>28</v>
      </c>
      <c r="E24" s="2" t="s">
        <v>29</v>
      </c>
      <c r="F24" s="2" t="s">
        <v>33</v>
      </c>
      <c r="G24" s="1">
        <v>5</v>
      </c>
      <c r="H24" s="1">
        <v>1964</v>
      </c>
      <c r="I24" s="3">
        <v>45766</v>
      </c>
      <c r="J24" s="2" t="s">
        <v>45</v>
      </c>
      <c r="K24" s="1">
        <f>SalesData[[#This Row],[Quantity]]*SalesData[[#This Row],[Price]]</f>
        <v>9820</v>
      </c>
    </row>
    <row r="25" spans="1:11" x14ac:dyDescent="0.25">
      <c r="A25" s="1">
        <v>1024</v>
      </c>
      <c r="B25" s="2" t="s">
        <v>57</v>
      </c>
      <c r="C25" s="2" t="s">
        <v>37</v>
      </c>
      <c r="D25" s="2" t="s">
        <v>28</v>
      </c>
      <c r="E25" s="2" t="s">
        <v>13</v>
      </c>
      <c r="F25" s="2" t="s">
        <v>42</v>
      </c>
      <c r="G25" s="1">
        <v>4</v>
      </c>
      <c r="H25" s="1">
        <v>817</v>
      </c>
      <c r="I25" s="3">
        <v>45658</v>
      </c>
      <c r="J25" s="2" t="s">
        <v>45</v>
      </c>
      <c r="K25" s="1">
        <f>SalesData[[#This Row],[Quantity]]*SalesData[[#This Row],[Price]]</f>
        <v>3268</v>
      </c>
    </row>
    <row r="26" spans="1:11" x14ac:dyDescent="0.25">
      <c r="A26" s="1">
        <v>1025</v>
      </c>
      <c r="B26" s="2" t="s">
        <v>58</v>
      </c>
      <c r="C26" s="2" t="s">
        <v>37</v>
      </c>
      <c r="D26" s="2" t="s">
        <v>22</v>
      </c>
      <c r="E26" s="2" t="s">
        <v>29</v>
      </c>
      <c r="F26" s="2" t="s">
        <v>14</v>
      </c>
      <c r="G26" s="1">
        <v>5</v>
      </c>
      <c r="H26" s="1">
        <v>1571</v>
      </c>
      <c r="I26" s="3">
        <v>45680</v>
      </c>
      <c r="J26" s="2" t="s">
        <v>15</v>
      </c>
      <c r="K26" s="1">
        <f>SalesData[[#This Row],[Quantity]]*SalesData[[#This Row],[Price]]</f>
        <v>7855</v>
      </c>
    </row>
    <row r="27" spans="1:11" x14ac:dyDescent="0.25">
      <c r="A27" s="1">
        <v>1026</v>
      </c>
      <c r="B27" s="2" t="s">
        <v>59</v>
      </c>
      <c r="C27" s="2" t="s">
        <v>31</v>
      </c>
      <c r="D27" s="2" t="s">
        <v>44</v>
      </c>
      <c r="E27" s="2" t="s">
        <v>29</v>
      </c>
      <c r="F27" s="2" t="s">
        <v>33</v>
      </c>
      <c r="G27" s="1">
        <v>3</v>
      </c>
      <c r="H27" s="1">
        <v>1302</v>
      </c>
      <c r="I27" s="3">
        <v>45743</v>
      </c>
      <c r="J27" s="2" t="s">
        <v>15</v>
      </c>
      <c r="K27" s="1">
        <f>SalesData[[#This Row],[Quantity]]*SalesData[[#This Row],[Price]]</f>
        <v>3906</v>
      </c>
    </row>
    <row r="28" spans="1:11" x14ac:dyDescent="0.25">
      <c r="A28" s="1">
        <v>1027</v>
      </c>
      <c r="B28" s="2" t="s">
        <v>60</v>
      </c>
      <c r="C28" s="2" t="s">
        <v>11</v>
      </c>
      <c r="D28" s="2" t="s">
        <v>12</v>
      </c>
      <c r="E28" s="2" t="s">
        <v>13</v>
      </c>
      <c r="F28" s="2" t="s">
        <v>42</v>
      </c>
      <c r="G28" s="1">
        <v>5</v>
      </c>
      <c r="H28" s="1">
        <v>1060</v>
      </c>
      <c r="I28" s="3">
        <v>45676</v>
      </c>
      <c r="J28" s="2" t="s">
        <v>45</v>
      </c>
      <c r="K28" s="1">
        <f>SalesData[[#This Row],[Quantity]]*SalesData[[#This Row],[Price]]</f>
        <v>5300</v>
      </c>
    </row>
    <row r="29" spans="1:11" x14ac:dyDescent="0.25">
      <c r="A29" s="1">
        <v>1028</v>
      </c>
      <c r="B29" s="2" t="s">
        <v>61</v>
      </c>
      <c r="C29" s="2" t="s">
        <v>37</v>
      </c>
      <c r="D29" s="2" t="s">
        <v>12</v>
      </c>
      <c r="E29" s="2" t="s">
        <v>29</v>
      </c>
      <c r="F29" s="2" t="s">
        <v>19</v>
      </c>
      <c r="G29" s="1">
        <v>4</v>
      </c>
      <c r="H29" s="1">
        <v>1879</v>
      </c>
      <c r="I29" s="3">
        <v>45687</v>
      </c>
      <c r="J29" s="2" t="s">
        <v>25</v>
      </c>
      <c r="K29" s="1">
        <f>SalesData[[#This Row],[Quantity]]*SalesData[[#This Row],[Price]]</f>
        <v>7516</v>
      </c>
    </row>
    <row r="30" spans="1:11" x14ac:dyDescent="0.25">
      <c r="A30" s="1">
        <v>1029</v>
      </c>
      <c r="B30" s="2" t="s">
        <v>62</v>
      </c>
      <c r="C30" s="2" t="s">
        <v>17</v>
      </c>
      <c r="D30" s="2" t="s">
        <v>32</v>
      </c>
      <c r="E30" s="2" t="s">
        <v>13</v>
      </c>
      <c r="F30" s="2" t="s">
        <v>33</v>
      </c>
      <c r="G30" s="1">
        <v>3</v>
      </c>
      <c r="H30" s="1">
        <v>1963</v>
      </c>
      <c r="I30" s="3">
        <v>45746</v>
      </c>
      <c r="J30" s="2" t="s">
        <v>15</v>
      </c>
      <c r="K30" s="1">
        <f>SalesData[[#This Row],[Quantity]]*SalesData[[#This Row],[Price]]</f>
        <v>5889</v>
      </c>
    </row>
    <row r="31" spans="1:11" x14ac:dyDescent="0.25">
      <c r="A31" s="1">
        <v>1030</v>
      </c>
      <c r="B31" s="2" t="s">
        <v>63</v>
      </c>
      <c r="C31" s="2" t="s">
        <v>17</v>
      </c>
      <c r="D31" s="2" t="s">
        <v>44</v>
      </c>
      <c r="E31" s="2" t="s">
        <v>23</v>
      </c>
      <c r="F31" s="2" t="s">
        <v>19</v>
      </c>
      <c r="G31" s="1">
        <v>5</v>
      </c>
      <c r="H31" s="1">
        <v>1673</v>
      </c>
      <c r="I31" s="3">
        <v>45676</v>
      </c>
      <c r="J31" s="2" t="s">
        <v>15</v>
      </c>
      <c r="K31" s="1">
        <f>SalesData[[#This Row],[Quantity]]*SalesData[[#This Row],[Price]]</f>
        <v>8365</v>
      </c>
    </row>
    <row r="32" spans="1:11" x14ac:dyDescent="0.25">
      <c r="A32" s="1">
        <v>1031</v>
      </c>
      <c r="B32" s="2" t="s">
        <v>64</v>
      </c>
      <c r="C32" s="2" t="s">
        <v>31</v>
      </c>
      <c r="D32" s="2" t="s">
        <v>12</v>
      </c>
      <c r="E32" s="2" t="s">
        <v>13</v>
      </c>
      <c r="F32" s="2" t="s">
        <v>14</v>
      </c>
      <c r="G32" s="1">
        <v>5</v>
      </c>
      <c r="H32" s="1">
        <v>1135</v>
      </c>
      <c r="I32" s="3">
        <v>45742</v>
      </c>
      <c r="J32" s="2" t="s">
        <v>15</v>
      </c>
      <c r="K32" s="1">
        <f>SalesData[[#This Row],[Quantity]]*SalesData[[#This Row],[Price]]</f>
        <v>5675</v>
      </c>
    </row>
    <row r="33" spans="1:11" x14ac:dyDescent="0.25">
      <c r="A33" s="1">
        <v>1032</v>
      </c>
      <c r="B33" s="2" t="s">
        <v>65</v>
      </c>
      <c r="C33" s="2" t="s">
        <v>11</v>
      </c>
      <c r="D33" s="2" t="s">
        <v>22</v>
      </c>
      <c r="E33" s="2" t="s">
        <v>29</v>
      </c>
      <c r="F33" s="2" t="s">
        <v>19</v>
      </c>
      <c r="G33" s="1">
        <v>5</v>
      </c>
      <c r="H33" s="1">
        <v>1550</v>
      </c>
      <c r="I33" s="3">
        <v>45725</v>
      </c>
      <c r="J33" s="2" t="s">
        <v>20</v>
      </c>
      <c r="K33" s="1">
        <f>SalesData[[#This Row],[Quantity]]*SalesData[[#This Row],[Price]]</f>
        <v>7750</v>
      </c>
    </row>
    <row r="34" spans="1:11" x14ac:dyDescent="0.25">
      <c r="A34" s="1">
        <v>1033</v>
      </c>
      <c r="B34" s="2" t="s">
        <v>66</v>
      </c>
      <c r="C34" s="2" t="s">
        <v>17</v>
      </c>
      <c r="D34" s="2" t="s">
        <v>44</v>
      </c>
      <c r="E34" s="2" t="s">
        <v>29</v>
      </c>
      <c r="F34" s="2" t="s">
        <v>19</v>
      </c>
      <c r="G34" s="1">
        <v>5</v>
      </c>
      <c r="H34" s="1">
        <v>1646</v>
      </c>
      <c r="I34" s="3">
        <v>45693</v>
      </c>
      <c r="J34" s="2" t="s">
        <v>20</v>
      </c>
      <c r="K34" s="1">
        <f>SalesData[[#This Row],[Quantity]]*SalesData[[#This Row],[Price]]</f>
        <v>8230</v>
      </c>
    </row>
    <row r="35" spans="1:11" x14ac:dyDescent="0.25">
      <c r="A35" s="1">
        <v>1034</v>
      </c>
      <c r="B35" s="2" t="s">
        <v>67</v>
      </c>
      <c r="C35" s="2" t="s">
        <v>11</v>
      </c>
      <c r="D35" s="2" t="s">
        <v>32</v>
      </c>
      <c r="E35" s="2" t="s">
        <v>29</v>
      </c>
      <c r="F35" s="2" t="s">
        <v>33</v>
      </c>
      <c r="G35" s="1">
        <v>4</v>
      </c>
      <c r="H35" s="1">
        <v>1559</v>
      </c>
      <c r="I35" s="3">
        <v>45733</v>
      </c>
      <c r="J35" s="2" t="s">
        <v>15</v>
      </c>
      <c r="K35" s="1">
        <f>SalesData[[#This Row],[Quantity]]*SalesData[[#This Row],[Price]]</f>
        <v>6236</v>
      </c>
    </row>
    <row r="36" spans="1:11" x14ac:dyDescent="0.25">
      <c r="A36" s="1">
        <v>1035</v>
      </c>
      <c r="B36" s="2" t="s">
        <v>68</v>
      </c>
      <c r="C36" s="2" t="s">
        <v>17</v>
      </c>
      <c r="D36" s="2" t="s">
        <v>32</v>
      </c>
      <c r="E36" s="2" t="s">
        <v>29</v>
      </c>
      <c r="F36" s="2" t="s">
        <v>42</v>
      </c>
      <c r="G36" s="1">
        <v>5</v>
      </c>
      <c r="H36" s="1">
        <v>1793</v>
      </c>
      <c r="I36" s="3">
        <v>45659</v>
      </c>
      <c r="J36" s="2" t="s">
        <v>45</v>
      </c>
      <c r="K36" s="1">
        <f>SalesData[[#This Row],[Quantity]]*SalesData[[#This Row],[Price]]</f>
        <v>8965</v>
      </c>
    </row>
    <row r="37" spans="1:11" x14ac:dyDescent="0.25">
      <c r="A37" s="1">
        <v>1036</v>
      </c>
      <c r="B37" s="2" t="s">
        <v>69</v>
      </c>
      <c r="C37" s="2" t="s">
        <v>11</v>
      </c>
      <c r="D37" s="2" t="s">
        <v>18</v>
      </c>
      <c r="E37" s="2" t="s">
        <v>23</v>
      </c>
      <c r="F37" s="2" t="s">
        <v>19</v>
      </c>
      <c r="G37" s="1">
        <v>5</v>
      </c>
      <c r="H37" s="1">
        <v>1030</v>
      </c>
      <c r="I37" s="3">
        <v>45749</v>
      </c>
      <c r="J37" s="2" t="s">
        <v>25</v>
      </c>
      <c r="K37" s="1">
        <f>SalesData[[#This Row],[Quantity]]*SalesData[[#This Row],[Price]]</f>
        <v>5150</v>
      </c>
    </row>
    <row r="38" spans="1:11" x14ac:dyDescent="0.25">
      <c r="A38" s="1">
        <v>1037</v>
      </c>
      <c r="B38" s="2" t="s">
        <v>70</v>
      </c>
      <c r="C38" s="2" t="s">
        <v>17</v>
      </c>
      <c r="D38" s="2" t="s">
        <v>32</v>
      </c>
      <c r="E38" s="2" t="s">
        <v>29</v>
      </c>
      <c r="F38" s="2" t="s">
        <v>33</v>
      </c>
      <c r="G38" s="1">
        <v>2</v>
      </c>
      <c r="H38" s="1">
        <v>1921</v>
      </c>
      <c r="I38" s="3">
        <v>45756</v>
      </c>
      <c r="J38" s="2" t="s">
        <v>25</v>
      </c>
      <c r="K38" s="1">
        <f>SalesData[[#This Row],[Quantity]]*SalesData[[#This Row],[Price]]</f>
        <v>3842</v>
      </c>
    </row>
    <row r="39" spans="1:11" x14ac:dyDescent="0.25">
      <c r="A39" s="1">
        <v>1038</v>
      </c>
      <c r="B39" s="2" t="s">
        <v>71</v>
      </c>
      <c r="C39" s="2" t="s">
        <v>31</v>
      </c>
      <c r="D39" s="2" t="s">
        <v>32</v>
      </c>
      <c r="E39" s="2" t="s">
        <v>29</v>
      </c>
      <c r="F39" s="2" t="s">
        <v>14</v>
      </c>
      <c r="G39" s="1">
        <v>1</v>
      </c>
      <c r="H39" s="1">
        <v>1674</v>
      </c>
      <c r="I39" s="3">
        <v>45764</v>
      </c>
      <c r="J39" s="2" t="s">
        <v>25</v>
      </c>
      <c r="K39" s="1">
        <f>SalesData[[#This Row],[Quantity]]*SalesData[[#This Row],[Price]]</f>
        <v>1674</v>
      </c>
    </row>
    <row r="40" spans="1:11" x14ac:dyDescent="0.25">
      <c r="A40" s="1">
        <v>1039</v>
      </c>
      <c r="B40" s="2" t="s">
        <v>72</v>
      </c>
      <c r="C40" s="2" t="s">
        <v>17</v>
      </c>
      <c r="D40" s="2" t="s">
        <v>22</v>
      </c>
      <c r="E40" s="2" t="s">
        <v>13</v>
      </c>
      <c r="F40" s="2" t="s">
        <v>33</v>
      </c>
      <c r="G40" s="1">
        <v>1</v>
      </c>
      <c r="H40" s="1">
        <v>1218</v>
      </c>
      <c r="I40" s="3">
        <v>45682</v>
      </c>
      <c r="J40" s="2" t="s">
        <v>25</v>
      </c>
      <c r="K40" s="1">
        <f>SalesData[[#This Row],[Quantity]]*SalesData[[#This Row],[Price]]</f>
        <v>1218</v>
      </c>
    </row>
    <row r="41" spans="1:11" x14ac:dyDescent="0.25">
      <c r="A41" s="1">
        <v>1040</v>
      </c>
      <c r="B41" s="2" t="s">
        <v>73</v>
      </c>
      <c r="C41" s="2" t="s">
        <v>31</v>
      </c>
      <c r="D41" s="2" t="s">
        <v>22</v>
      </c>
      <c r="E41" s="2" t="s">
        <v>13</v>
      </c>
      <c r="F41" s="2" t="s">
        <v>14</v>
      </c>
      <c r="G41" s="1">
        <v>4</v>
      </c>
      <c r="H41" s="1">
        <v>1034</v>
      </c>
      <c r="I41" s="3">
        <v>45778</v>
      </c>
      <c r="J41" s="2" t="s">
        <v>25</v>
      </c>
      <c r="K41" s="1">
        <f>SalesData[[#This Row],[Quantity]]*SalesData[[#This Row],[Price]]</f>
        <v>4136</v>
      </c>
    </row>
    <row r="42" spans="1:11" x14ac:dyDescent="0.25">
      <c r="A42" s="1">
        <v>1041</v>
      </c>
      <c r="B42" s="2" t="s">
        <v>74</v>
      </c>
      <c r="C42" s="2" t="s">
        <v>37</v>
      </c>
      <c r="D42" s="2" t="s">
        <v>28</v>
      </c>
      <c r="E42" s="2" t="s">
        <v>29</v>
      </c>
      <c r="F42" s="2" t="s">
        <v>24</v>
      </c>
      <c r="G42" s="1">
        <v>3</v>
      </c>
      <c r="H42" s="1">
        <v>1633</v>
      </c>
      <c r="I42" s="3">
        <v>45743</v>
      </c>
      <c r="J42" s="2" t="s">
        <v>25</v>
      </c>
      <c r="K42" s="1">
        <f>SalesData[[#This Row],[Quantity]]*SalesData[[#This Row],[Price]]</f>
        <v>4899</v>
      </c>
    </row>
    <row r="43" spans="1:11" x14ac:dyDescent="0.25">
      <c r="A43" s="1">
        <v>1042</v>
      </c>
      <c r="B43" s="2" t="s">
        <v>75</v>
      </c>
      <c r="C43" s="2" t="s">
        <v>37</v>
      </c>
      <c r="D43" s="2" t="s">
        <v>28</v>
      </c>
      <c r="E43" s="2" t="s">
        <v>13</v>
      </c>
      <c r="F43" s="2" t="s">
        <v>24</v>
      </c>
      <c r="G43" s="1">
        <v>4</v>
      </c>
      <c r="H43" s="1">
        <v>720</v>
      </c>
      <c r="I43" s="3">
        <v>45677</v>
      </c>
      <c r="J43" s="2" t="s">
        <v>15</v>
      </c>
      <c r="K43" s="1">
        <f>SalesData[[#This Row],[Quantity]]*SalesData[[#This Row],[Price]]</f>
        <v>2880</v>
      </c>
    </row>
    <row r="44" spans="1:11" x14ac:dyDescent="0.25">
      <c r="A44" s="1">
        <v>1043</v>
      </c>
      <c r="B44" s="2" t="s">
        <v>76</v>
      </c>
      <c r="C44" s="2" t="s">
        <v>31</v>
      </c>
      <c r="D44" s="2" t="s">
        <v>28</v>
      </c>
      <c r="E44" s="2" t="s">
        <v>29</v>
      </c>
      <c r="F44" s="2" t="s">
        <v>33</v>
      </c>
      <c r="G44" s="1">
        <v>2</v>
      </c>
      <c r="H44" s="1">
        <v>1238</v>
      </c>
      <c r="I44" s="3">
        <v>45738</v>
      </c>
      <c r="J44" s="2" t="s">
        <v>25</v>
      </c>
      <c r="K44" s="1">
        <f>SalesData[[#This Row],[Quantity]]*SalesData[[#This Row],[Price]]</f>
        <v>2476</v>
      </c>
    </row>
    <row r="45" spans="1:11" x14ac:dyDescent="0.25">
      <c r="A45" s="1">
        <v>1044</v>
      </c>
      <c r="B45" s="2" t="s">
        <v>77</v>
      </c>
      <c r="C45" s="2" t="s">
        <v>11</v>
      </c>
      <c r="D45" s="2" t="s">
        <v>12</v>
      </c>
      <c r="E45" s="2" t="s">
        <v>13</v>
      </c>
      <c r="F45" s="2" t="s">
        <v>42</v>
      </c>
      <c r="G45" s="1">
        <v>4</v>
      </c>
      <c r="H45" s="1">
        <v>1779</v>
      </c>
      <c r="I45" s="3">
        <v>45669</v>
      </c>
      <c r="J45" s="2" t="s">
        <v>15</v>
      </c>
      <c r="K45" s="1">
        <f>SalesData[[#This Row],[Quantity]]*SalesData[[#This Row],[Price]]</f>
        <v>7116</v>
      </c>
    </row>
    <row r="46" spans="1:11" x14ac:dyDescent="0.25">
      <c r="A46" s="1">
        <v>1045</v>
      </c>
      <c r="B46" s="2" t="s">
        <v>78</v>
      </c>
      <c r="C46" s="2" t="s">
        <v>37</v>
      </c>
      <c r="D46" s="2" t="s">
        <v>12</v>
      </c>
      <c r="E46" s="2" t="s">
        <v>13</v>
      </c>
      <c r="F46" s="2" t="s">
        <v>14</v>
      </c>
      <c r="G46" s="1">
        <v>5</v>
      </c>
      <c r="H46" s="1">
        <v>1667</v>
      </c>
      <c r="I46" s="3">
        <v>45765</v>
      </c>
      <c r="J46" s="2" t="s">
        <v>15</v>
      </c>
      <c r="K46" s="1">
        <f>SalesData[[#This Row],[Quantity]]*SalesData[[#This Row],[Price]]</f>
        <v>8335</v>
      </c>
    </row>
    <row r="47" spans="1:11" x14ac:dyDescent="0.25">
      <c r="A47" s="1">
        <v>1046</v>
      </c>
      <c r="B47" s="2" t="s">
        <v>79</v>
      </c>
      <c r="C47" s="2" t="s">
        <v>35</v>
      </c>
      <c r="D47" s="2" t="s">
        <v>22</v>
      </c>
      <c r="E47" s="2" t="s">
        <v>23</v>
      </c>
      <c r="F47" s="2" t="s">
        <v>19</v>
      </c>
      <c r="G47" s="1">
        <v>1</v>
      </c>
      <c r="H47" s="1">
        <v>1094</v>
      </c>
      <c r="I47" s="3">
        <v>45669</v>
      </c>
      <c r="J47" s="2" t="s">
        <v>20</v>
      </c>
      <c r="K47" s="1">
        <f>SalesData[[#This Row],[Quantity]]*SalesData[[#This Row],[Price]]</f>
        <v>1094</v>
      </c>
    </row>
    <row r="48" spans="1:11" x14ac:dyDescent="0.25">
      <c r="A48" s="1">
        <v>1047</v>
      </c>
      <c r="B48" s="2" t="s">
        <v>80</v>
      </c>
      <c r="C48" s="2" t="s">
        <v>11</v>
      </c>
      <c r="D48" s="2" t="s">
        <v>18</v>
      </c>
      <c r="E48" s="2" t="s">
        <v>13</v>
      </c>
      <c r="F48" s="2" t="s">
        <v>42</v>
      </c>
      <c r="G48" s="1">
        <v>5</v>
      </c>
      <c r="H48" s="1">
        <v>1120</v>
      </c>
      <c r="I48" s="3">
        <v>45668</v>
      </c>
      <c r="J48" s="2" t="s">
        <v>20</v>
      </c>
      <c r="K48" s="1">
        <f>SalesData[[#This Row],[Quantity]]*SalesData[[#This Row],[Price]]</f>
        <v>5600</v>
      </c>
    </row>
    <row r="49" spans="1:11" x14ac:dyDescent="0.25">
      <c r="A49" s="1">
        <v>1048</v>
      </c>
      <c r="B49" s="2" t="s">
        <v>81</v>
      </c>
      <c r="C49" s="2" t="s">
        <v>11</v>
      </c>
      <c r="D49" s="2" t="s">
        <v>44</v>
      </c>
      <c r="E49" s="2" t="s">
        <v>13</v>
      </c>
      <c r="F49" s="2" t="s">
        <v>24</v>
      </c>
      <c r="G49" s="1">
        <v>5</v>
      </c>
      <c r="H49" s="1">
        <v>1786</v>
      </c>
      <c r="I49" s="3">
        <v>45744</v>
      </c>
      <c r="J49" s="2" t="s">
        <v>45</v>
      </c>
      <c r="K49" s="1">
        <f>SalesData[[#This Row],[Quantity]]*SalesData[[#This Row],[Price]]</f>
        <v>8930</v>
      </c>
    </row>
    <row r="50" spans="1:11" x14ac:dyDescent="0.25">
      <c r="A50" s="1">
        <v>1049</v>
      </c>
      <c r="B50" s="2" t="s">
        <v>82</v>
      </c>
      <c r="C50" s="2" t="s">
        <v>17</v>
      </c>
      <c r="D50" s="2" t="s">
        <v>44</v>
      </c>
      <c r="E50" s="2" t="s">
        <v>29</v>
      </c>
      <c r="F50" s="2" t="s">
        <v>24</v>
      </c>
      <c r="G50" s="1">
        <v>1</v>
      </c>
      <c r="H50" s="1">
        <v>1199</v>
      </c>
      <c r="I50" s="3">
        <v>45743</v>
      </c>
      <c r="J50" s="2" t="s">
        <v>15</v>
      </c>
      <c r="K50" s="1">
        <f>SalesData[[#This Row],[Quantity]]*SalesData[[#This Row],[Price]]</f>
        <v>1199</v>
      </c>
    </row>
    <row r="51" spans="1:11" x14ac:dyDescent="0.25">
      <c r="A51" s="1">
        <v>1050</v>
      </c>
      <c r="B51" s="2" t="s">
        <v>83</v>
      </c>
      <c r="C51" s="2" t="s">
        <v>17</v>
      </c>
      <c r="D51" s="2" t="s">
        <v>32</v>
      </c>
      <c r="E51" s="2" t="s">
        <v>29</v>
      </c>
      <c r="F51" s="2" t="s">
        <v>19</v>
      </c>
      <c r="G51" s="1">
        <v>1</v>
      </c>
      <c r="H51" s="1">
        <v>733</v>
      </c>
      <c r="I51" s="3">
        <v>45669</v>
      </c>
      <c r="J51" s="2" t="s">
        <v>45</v>
      </c>
      <c r="K51" s="1">
        <f>SalesData[[#This Row],[Quantity]]*SalesData[[#This Row],[Price]]</f>
        <v>733</v>
      </c>
    </row>
    <row r="52" spans="1:11" x14ac:dyDescent="0.25">
      <c r="A52" s="1">
        <v>1051</v>
      </c>
      <c r="B52" s="2" t="s">
        <v>84</v>
      </c>
      <c r="C52" s="2" t="s">
        <v>37</v>
      </c>
      <c r="D52" s="2" t="s">
        <v>22</v>
      </c>
      <c r="E52" s="2" t="s">
        <v>13</v>
      </c>
      <c r="F52" s="2" t="s">
        <v>19</v>
      </c>
      <c r="G52" s="1">
        <v>5</v>
      </c>
      <c r="H52" s="1">
        <v>1113</v>
      </c>
      <c r="I52" s="3">
        <v>45679</v>
      </c>
      <c r="J52" s="2" t="s">
        <v>25</v>
      </c>
      <c r="K52" s="1">
        <f>SalesData[[#This Row],[Quantity]]*SalesData[[#This Row],[Price]]</f>
        <v>5565</v>
      </c>
    </row>
    <row r="53" spans="1:11" x14ac:dyDescent="0.25">
      <c r="A53" s="1">
        <v>1052</v>
      </c>
      <c r="B53" s="2" t="s">
        <v>85</v>
      </c>
      <c r="C53" s="2" t="s">
        <v>40</v>
      </c>
      <c r="D53" s="2" t="s">
        <v>44</v>
      </c>
      <c r="E53" s="2" t="s">
        <v>23</v>
      </c>
      <c r="F53" s="2" t="s">
        <v>19</v>
      </c>
      <c r="G53" s="1">
        <v>5</v>
      </c>
      <c r="H53" s="1">
        <v>764</v>
      </c>
      <c r="I53" s="3">
        <v>45728</v>
      </c>
      <c r="J53" s="2" t="s">
        <v>15</v>
      </c>
      <c r="K53" s="1">
        <f>SalesData[[#This Row],[Quantity]]*SalesData[[#This Row],[Price]]</f>
        <v>3820</v>
      </c>
    </row>
    <row r="54" spans="1:11" x14ac:dyDescent="0.25">
      <c r="A54" s="1">
        <v>1053</v>
      </c>
      <c r="B54" s="2" t="s">
        <v>86</v>
      </c>
      <c r="C54" s="2" t="s">
        <v>11</v>
      </c>
      <c r="D54" s="2" t="s">
        <v>32</v>
      </c>
      <c r="E54" s="2" t="s">
        <v>29</v>
      </c>
      <c r="F54" s="2" t="s">
        <v>24</v>
      </c>
      <c r="G54" s="1">
        <v>1</v>
      </c>
      <c r="H54" s="1">
        <v>1959</v>
      </c>
      <c r="I54" s="3">
        <v>45715</v>
      </c>
      <c r="J54" s="2" t="s">
        <v>20</v>
      </c>
      <c r="K54" s="1">
        <f>SalesData[[#This Row],[Quantity]]*SalesData[[#This Row],[Price]]</f>
        <v>1959</v>
      </c>
    </row>
    <row r="55" spans="1:11" x14ac:dyDescent="0.25">
      <c r="A55" s="1">
        <v>1054</v>
      </c>
      <c r="B55" s="2" t="s">
        <v>87</v>
      </c>
      <c r="C55" s="2" t="s">
        <v>37</v>
      </c>
      <c r="D55" s="2" t="s">
        <v>44</v>
      </c>
      <c r="E55" s="2" t="s">
        <v>13</v>
      </c>
      <c r="F55" s="2" t="s">
        <v>42</v>
      </c>
      <c r="G55" s="1">
        <v>1</v>
      </c>
      <c r="H55" s="1">
        <v>1829</v>
      </c>
      <c r="I55" s="3">
        <v>45771</v>
      </c>
      <c r="J55" s="2" t="s">
        <v>25</v>
      </c>
      <c r="K55" s="1">
        <f>SalesData[[#This Row],[Quantity]]*SalesData[[#This Row],[Price]]</f>
        <v>1829</v>
      </c>
    </row>
    <row r="56" spans="1:11" x14ac:dyDescent="0.25">
      <c r="A56" s="1">
        <v>1055</v>
      </c>
      <c r="B56" s="2" t="s">
        <v>88</v>
      </c>
      <c r="C56" s="2" t="s">
        <v>40</v>
      </c>
      <c r="D56" s="2" t="s">
        <v>32</v>
      </c>
      <c r="E56" s="2" t="s">
        <v>29</v>
      </c>
      <c r="F56" s="2" t="s">
        <v>19</v>
      </c>
      <c r="G56" s="1">
        <v>2</v>
      </c>
      <c r="H56" s="1">
        <v>899</v>
      </c>
      <c r="I56" s="3">
        <v>45757</v>
      </c>
      <c r="J56" s="2" t="s">
        <v>20</v>
      </c>
      <c r="K56" s="1">
        <f>SalesData[[#This Row],[Quantity]]*SalesData[[#This Row],[Price]]</f>
        <v>1798</v>
      </c>
    </row>
    <row r="57" spans="1:11" x14ac:dyDescent="0.25">
      <c r="A57" s="1">
        <v>1056</v>
      </c>
      <c r="B57" s="2" t="s">
        <v>89</v>
      </c>
      <c r="C57" s="2" t="s">
        <v>11</v>
      </c>
      <c r="D57" s="2" t="s">
        <v>28</v>
      </c>
      <c r="E57" s="2" t="s">
        <v>23</v>
      </c>
      <c r="F57" s="2" t="s">
        <v>24</v>
      </c>
      <c r="G57" s="1">
        <v>5</v>
      </c>
      <c r="H57" s="1">
        <v>1250</v>
      </c>
      <c r="I57" s="3">
        <v>45659</v>
      </c>
      <c r="J57" s="2" t="s">
        <v>15</v>
      </c>
      <c r="K57" s="1">
        <f>SalesData[[#This Row],[Quantity]]*SalesData[[#This Row],[Price]]</f>
        <v>6250</v>
      </c>
    </row>
    <row r="58" spans="1:11" x14ac:dyDescent="0.25">
      <c r="A58" s="1">
        <v>1057</v>
      </c>
      <c r="B58" s="2" t="s">
        <v>90</v>
      </c>
      <c r="C58" s="2" t="s">
        <v>40</v>
      </c>
      <c r="D58" s="2" t="s">
        <v>32</v>
      </c>
      <c r="E58" s="2" t="s">
        <v>13</v>
      </c>
      <c r="F58" s="2" t="s">
        <v>19</v>
      </c>
      <c r="G58" s="1">
        <v>1</v>
      </c>
      <c r="H58" s="1">
        <v>945</v>
      </c>
      <c r="I58" s="3">
        <v>45778</v>
      </c>
      <c r="J58" s="2" t="s">
        <v>15</v>
      </c>
      <c r="K58" s="1">
        <f>SalesData[[#This Row],[Quantity]]*SalesData[[#This Row],[Price]]</f>
        <v>945</v>
      </c>
    </row>
    <row r="59" spans="1:11" x14ac:dyDescent="0.25">
      <c r="A59" s="1">
        <v>1058</v>
      </c>
      <c r="B59" s="2" t="s">
        <v>91</v>
      </c>
      <c r="C59" s="2" t="s">
        <v>37</v>
      </c>
      <c r="D59" s="2" t="s">
        <v>22</v>
      </c>
      <c r="E59" s="2" t="s">
        <v>13</v>
      </c>
      <c r="F59" s="2" t="s">
        <v>14</v>
      </c>
      <c r="G59" s="1">
        <v>5</v>
      </c>
      <c r="H59" s="1">
        <v>1752</v>
      </c>
      <c r="I59" s="3">
        <v>45758</v>
      </c>
      <c r="J59" s="2" t="s">
        <v>15</v>
      </c>
      <c r="K59" s="1">
        <f>SalesData[[#This Row],[Quantity]]*SalesData[[#This Row],[Price]]</f>
        <v>8760</v>
      </c>
    </row>
    <row r="60" spans="1:11" x14ac:dyDescent="0.25">
      <c r="A60" s="1">
        <v>1059</v>
      </c>
      <c r="B60" s="2" t="s">
        <v>92</v>
      </c>
      <c r="C60" s="2" t="s">
        <v>40</v>
      </c>
      <c r="D60" s="2" t="s">
        <v>32</v>
      </c>
      <c r="E60" s="2" t="s">
        <v>23</v>
      </c>
      <c r="F60" s="2" t="s">
        <v>33</v>
      </c>
      <c r="G60" s="1">
        <v>4</v>
      </c>
      <c r="H60" s="1">
        <v>1909</v>
      </c>
      <c r="I60" s="3">
        <v>45760</v>
      </c>
      <c r="J60" s="2" t="s">
        <v>15</v>
      </c>
      <c r="K60" s="1">
        <f>SalesData[[#This Row],[Quantity]]*SalesData[[#This Row],[Price]]</f>
        <v>7636</v>
      </c>
    </row>
    <row r="61" spans="1:11" x14ac:dyDescent="0.25">
      <c r="A61" s="1">
        <v>1060</v>
      </c>
      <c r="B61" s="2" t="s">
        <v>93</v>
      </c>
      <c r="C61" s="2" t="s">
        <v>35</v>
      </c>
      <c r="D61" s="2" t="s">
        <v>32</v>
      </c>
      <c r="E61" s="2" t="s">
        <v>23</v>
      </c>
      <c r="F61" s="2" t="s">
        <v>19</v>
      </c>
      <c r="G61" s="1">
        <v>5</v>
      </c>
      <c r="H61" s="1">
        <v>1714</v>
      </c>
      <c r="I61" s="3">
        <v>45669</v>
      </c>
      <c r="J61" s="2" t="s">
        <v>25</v>
      </c>
      <c r="K61" s="1">
        <f>SalesData[[#This Row],[Quantity]]*SalesData[[#This Row],[Price]]</f>
        <v>8570</v>
      </c>
    </row>
    <row r="62" spans="1:11" x14ac:dyDescent="0.25">
      <c r="A62" s="1">
        <v>1061</v>
      </c>
      <c r="B62" s="2" t="s">
        <v>94</v>
      </c>
      <c r="C62" s="2" t="s">
        <v>31</v>
      </c>
      <c r="D62" s="2" t="s">
        <v>28</v>
      </c>
      <c r="E62" s="2" t="s">
        <v>23</v>
      </c>
      <c r="F62" s="2" t="s">
        <v>24</v>
      </c>
      <c r="G62" s="1">
        <v>5</v>
      </c>
      <c r="H62" s="1">
        <v>1519</v>
      </c>
      <c r="I62" s="3">
        <v>45709</v>
      </c>
      <c r="J62" s="2" t="s">
        <v>15</v>
      </c>
      <c r="K62" s="1">
        <f>SalesData[[#This Row],[Quantity]]*SalesData[[#This Row],[Price]]</f>
        <v>7595</v>
      </c>
    </row>
    <row r="63" spans="1:11" x14ac:dyDescent="0.25">
      <c r="A63" s="1">
        <v>1062</v>
      </c>
      <c r="B63" s="2" t="s">
        <v>95</v>
      </c>
      <c r="C63" s="2" t="s">
        <v>17</v>
      </c>
      <c r="D63" s="2" t="s">
        <v>12</v>
      </c>
      <c r="E63" s="2" t="s">
        <v>23</v>
      </c>
      <c r="F63" s="2" t="s">
        <v>14</v>
      </c>
      <c r="G63" s="1">
        <v>4</v>
      </c>
      <c r="H63" s="1">
        <v>1769</v>
      </c>
      <c r="I63" s="3">
        <v>45752</v>
      </c>
      <c r="J63" s="2" t="s">
        <v>20</v>
      </c>
      <c r="K63" s="1">
        <f>SalesData[[#This Row],[Quantity]]*SalesData[[#This Row],[Price]]</f>
        <v>7076</v>
      </c>
    </row>
    <row r="64" spans="1:11" x14ac:dyDescent="0.25">
      <c r="A64" s="1">
        <v>1063</v>
      </c>
      <c r="B64" s="2" t="s">
        <v>96</v>
      </c>
      <c r="C64" s="2" t="s">
        <v>17</v>
      </c>
      <c r="D64" s="2" t="s">
        <v>22</v>
      </c>
      <c r="E64" s="2" t="s">
        <v>29</v>
      </c>
      <c r="F64" s="2" t="s">
        <v>42</v>
      </c>
      <c r="G64" s="1">
        <v>5</v>
      </c>
      <c r="H64" s="1">
        <v>1644</v>
      </c>
      <c r="I64" s="3">
        <v>45709</v>
      </c>
      <c r="J64" s="2" t="s">
        <v>25</v>
      </c>
      <c r="K64" s="1">
        <f>SalesData[[#This Row],[Quantity]]*SalesData[[#This Row],[Price]]</f>
        <v>8220</v>
      </c>
    </row>
    <row r="65" spans="1:11" x14ac:dyDescent="0.25">
      <c r="A65" s="1">
        <v>1064</v>
      </c>
      <c r="B65" s="2" t="s">
        <v>97</v>
      </c>
      <c r="C65" s="2" t="s">
        <v>37</v>
      </c>
      <c r="D65" s="2" t="s">
        <v>22</v>
      </c>
      <c r="E65" s="2" t="s">
        <v>23</v>
      </c>
      <c r="F65" s="2" t="s">
        <v>33</v>
      </c>
      <c r="G65" s="1">
        <v>2</v>
      </c>
      <c r="H65" s="1">
        <v>1991</v>
      </c>
      <c r="I65" s="3">
        <v>45685</v>
      </c>
      <c r="J65" s="2" t="s">
        <v>45</v>
      </c>
      <c r="K65" s="1">
        <f>SalesData[[#This Row],[Quantity]]*SalesData[[#This Row],[Price]]</f>
        <v>3982</v>
      </c>
    </row>
    <row r="66" spans="1:11" x14ac:dyDescent="0.25">
      <c r="A66" s="1">
        <v>1065</v>
      </c>
      <c r="B66" s="2" t="s">
        <v>98</v>
      </c>
      <c r="C66" s="2" t="s">
        <v>17</v>
      </c>
      <c r="D66" s="2" t="s">
        <v>44</v>
      </c>
      <c r="E66" s="2" t="s">
        <v>13</v>
      </c>
      <c r="F66" s="2" t="s">
        <v>42</v>
      </c>
      <c r="G66" s="1">
        <v>3</v>
      </c>
      <c r="H66" s="1">
        <v>1706</v>
      </c>
      <c r="I66" s="3">
        <v>45661</v>
      </c>
      <c r="J66" s="2" t="s">
        <v>15</v>
      </c>
      <c r="K66" s="1">
        <f>SalesData[[#This Row],[Quantity]]*SalesData[[#This Row],[Price]]</f>
        <v>5118</v>
      </c>
    </row>
    <row r="67" spans="1:11" x14ac:dyDescent="0.25">
      <c r="A67" s="1">
        <v>1066</v>
      </c>
      <c r="B67" s="2" t="s">
        <v>99</v>
      </c>
      <c r="C67" s="2" t="s">
        <v>11</v>
      </c>
      <c r="D67" s="2" t="s">
        <v>44</v>
      </c>
      <c r="E67" s="2" t="s">
        <v>13</v>
      </c>
      <c r="F67" s="2" t="s">
        <v>42</v>
      </c>
      <c r="G67" s="1">
        <v>1</v>
      </c>
      <c r="H67" s="1">
        <v>1884</v>
      </c>
      <c r="I67" s="3">
        <v>45744</v>
      </c>
      <c r="J67" s="2" t="s">
        <v>15</v>
      </c>
      <c r="K67" s="1">
        <f>SalesData[[#This Row],[Quantity]]*SalesData[[#This Row],[Price]]</f>
        <v>1884</v>
      </c>
    </row>
    <row r="68" spans="1:11" x14ac:dyDescent="0.25">
      <c r="A68" s="1">
        <v>1067</v>
      </c>
      <c r="B68" s="2" t="s">
        <v>100</v>
      </c>
      <c r="C68" s="2" t="s">
        <v>17</v>
      </c>
      <c r="D68" s="2" t="s">
        <v>32</v>
      </c>
      <c r="E68" s="2" t="s">
        <v>29</v>
      </c>
      <c r="F68" s="2" t="s">
        <v>19</v>
      </c>
      <c r="G68" s="1">
        <v>3</v>
      </c>
      <c r="H68" s="1">
        <v>1027</v>
      </c>
      <c r="I68" s="3">
        <v>45769</v>
      </c>
      <c r="J68" s="2" t="s">
        <v>15</v>
      </c>
      <c r="K68" s="1">
        <f>SalesData[[#This Row],[Quantity]]*SalesData[[#This Row],[Price]]</f>
        <v>3081</v>
      </c>
    </row>
    <row r="69" spans="1:11" x14ac:dyDescent="0.25">
      <c r="A69" s="1">
        <v>1068</v>
      </c>
      <c r="B69" s="2" t="s">
        <v>101</v>
      </c>
      <c r="C69" s="2" t="s">
        <v>40</v>
      </c>
      <c r="D69" s="2" t="s">
        <v>22</v>
      </c>
      <c r="E69" s="2" t="s">
        <v>29</v>
      </c>
      <c r="F69" s="2" t="s">
        <v>24</v>
      </c>
      <c r="G69" s="1">
        <v>2</v>
      </c>
      <c r="H69" s="1">
        <v>788</v>
      </c>
      <c r="I69" s="3">
        <v>45752</v>
      </c>
      <c r="J69" s="2" t="s">
        <v>25</v>
      </c>
      <c r="K69" s="1">
        <f>SalesData[[#This Row],[Quantity]]*SalesData[[#This Row],[Price]]</f>
        <v>1576</v>
      </c>
    </row>
    <row r="70" spans="1:11" x14ac:dyDescent="0.25">
      <c r="A70" s="1">
        <v>1069</v>
      </c>
      <c r="B70" s="2" t="s">
        <v>102</v>
      </c>
      <c r="C70" s="2" t="s">
        <v>35</v>
      </c>
      <c r="D70" s="2" t="s">
        <v>32</v>
      </c>
      <c r="E70" s="2" t="s">
        <v>29</v>
      </c>
      <c r="F70" s="2" t="s">
        <v>42</v>
      </c>
      <c r="G70" s="1">
        <v>3</v>
      </c>
      <c r="H70" s="1">
        <v>796</v>
      </c>
      <c r="I70" s="3">
        <v>45682</v>
      </c>
      <c r="J70" s="2" t="s">
        <v>20</v>
      </c>
      <c r="K70" s="1">
        <f>SalesData[[#This Row],[Quantity]]*SalesData[[#This Row],[Price]]</f>
        <v>2388</v>
      </c>
    </row>
    <row r="71" spans="1:11" x14ac:dyDescent="0.25">
      <c r="A71" s="1">
        <v>1070</v>
      </c>
      <c r="B71" s="2" t="s">
        <v>103</v>
      </c>
      <c r="C71" s="2" t="s">
        <v>17</v>
      </c>
      <c r="D71" s="2" t="s">
        <v>32</v>
      </c>
      <c r="E71" s="2" t="s">
        <v>23</v>
      </c>
      <c r="F71" s="2" t="s">
        <v>19</v>
      </c>
      <c r="G71" s="1">
        <v>4</v>
      </c>
      <c r="H71" s="1">
        <v>1829</v>
      </c>
      <c r="I71" s="3">
        <v>45670</v>
      </c>
      <c r="J71" s="2" t="s">
        <v>25</v>
      </c>
      <c r="K71" s="1">
        <f>SalesData[[#This Row],[Quantity]]*SalesData[[#This Row],[Price]]</f>
        <v>7316</v>
      </c>
    </row>
    <row r="72" spans="1:11" x14ac:dyDescent="0.25">
      <c r="A72" s="1">
        <v>1071</v>
      </c>
      <c r="B72" s="2" t="s">
        <v>104</v>
      </c>
      <c r="C72" s="2" t="s">
        <v>37</v>
      </c>
      <c r="D72" s="2" t="s">
        <v>18</v>
      </c>
      <c r="E72" s="2" t="s">
        <v>23</v>
      </c>
      <c r="F72" s="2" t="s">
        <v>14</v>
      </c>
      <c r="G72" s="1">
        <v>2</v>
      </c>
      <c r="H72" s="1">
        <v>1977</v>
      </c>
      <c r="I72" s="3">
        <v>45667</v>
      </c>
      <c r="J72" s="2" t="s">
        <v>45</v>
      </c>
      <c r="K72" s="1">
        <f>SalesData[[#This Row],[Quantity]]*SalesData[[#This Row],[Price]]</f>
        <v>3954</v>
      </c>
    </row>
    <row r="73" spans="1:11" x14ac:dyDescent="0.25">
      <c r="A73" s="1">
        <v>1072</v>
      </c>
      <c r="B73" s="2" t="s">
        <v>105</v>
      </c>
      <c r="C73" s="2" t="s">
        <v>31</v>
      </c>
      <c r="D73" s="2" t="s">
        <v>18</v>
      </c>
      <c r="E73" s="2" t="s">
        <v>29</v>
      </c>
      <c r="F73" s="2" t="s">
        <v>33</v>
      </c>
      <c r="G73" s="1">
        <v>5</v>
      </c>
      <c r="H73" s="1">
        <v>1964</v>
      </c>
      <c r="I73" s="3">
        <v>45694</v>
      </c>
      <c r="J73" s="2" t="s">
        <v>15</v>
      </c>
      <c r="K73" s="1">
        <f>SalesData[[#This Row],[Quantity]]*SalesData[[#This Row],[Price]]</f>
        <v>9820</v>
      </c>
    </row>
    <row r="74" spans="1:11" x14ac:dyDescent="0.25">
      <c r="A74" s="1">
        <v>1073</v>
      </c>
      <c r="B74" s="2" t="s">
        <v>106</v>
      </c>
      <c r="C74" s="2" t="s">
        <v>11</v>
      </c>
      <c r="D74" s="2" t="s">
        <v>32</v>
      </c>
      <c r="E74" s="2" t="s">
        <v>29</v>
      </c>
      <c r="F74" s="2" t="s">
        <v>33</v>
      </c>
      <c r="G74" s="1">
        <v>2</v>
      </c>
      <c r="H74" s="1">
        <v>1629</v>
      </c>
      <c r="I74" s="3">
        <v>45685</v>
      </c>
      <c r="J74" s="2" t="s">
        <v>45</v>
      </c>
      <c r="K74" s="1">
        <f>SalesData[[#This Row],[Quantity]]*SalesData[[#This Row],[Price]]</f>
        <v>3258</v>
      </c>
    </row>
    <row r="75" spans="1:11" x14ac:dyDescent="0.25">
      <c r="A75" s="1">
        <v>1074</v>
      </c>
      <c r="B75" s="2" t="s">
        <v>107</v>
      </c>
      <c r="C75" s="2" t="s">
        <v>35</v>
      </c>
      <c r="D75" s="2" t="s">
        <v>22</v>
      </c>
      <c r="E75" s="2" t="s">
        <v>13</v>
      </c>
      <c r="F75" s="2" t="s">
        <v>42</v>
      </c>
      <c r="G75" s="1">
        <v>1</v>
      </c>
      <c r="H75" s="1">
        <v>1987</v>
      </c>
      <c r="I75" s="3">
        <v>45772</v>
      </c>
      <c r="J75" s="2" t="s">
        <v>20</v>
      </c>
      <c r="K75" s="1">
        <f>SalesData[[#This Row],[Quantity]]*SalesData[[#This Row],[Price]]</f>
        <v>1987</v>
      </c>
    </row>
    <row r="76" spans="1:11" x14ac:dyDescent="0.25">
      <c r="A76" s="1">
        <v>1075</v>
      </c>
      <c r="B76" s="2" t="s">
        <v>108</v>
      </c>
      <c r="C76" s="2" t="s">
        <v>35</v>
      </c>
      <c r="D76" s="2" t="s">
        <v>44</v>
      </c>
      <c r="E76" s="2" t="s">
        <v>23</v>
      </c>
      <c r="F76" s="2" t="s">
        <v>19</v>
      </c>
      <c r="G76" s="1">
        <v>4</v>
      </c>
      <c r="H76" s="1">
        <v>1547</v>
      </c>
      <c r="I76" s="3">
        <v>45667</v>
      </c>
      <c r="J76" s="2" t="s">
        <v>45</v>
      </c>
      <c r="K76" s="1">
        <f>SalesData[[#This Row],[Quantity]]*SalesData[[#This Row],[Price]]</f>
        <v>6188</v>
      </c>
    </row>
    <row r="77" spans="1:11" x14ac:dyDescent="0.25">
      <c r="A77" s="1">
        <v>1076</v>
      </c>
      <c r="B77" s="2" t="s">
        <v>109</v>
      </c>
      <c r="C77" s="2" t="s">
        <v>37</v>
      </c>
      <c r="D77" s="2" t="s">
        <v>32</v>
      </c>
      <c r="E77" s="2" t="s">
        <v>13</v>
      </c>
      <c r="F77" s="2" t="s">
        <v>33</v>
      </c>
      <c r="G77" s="1">
        <v>5</v>
      </c>
      <c r="H77" s="1">
        <v>1923</v>
      </c>
      <c r="I77" s="3">
        <v>45759</v>
      </c>
      <c r="J77" s="2" t="s">
        <v>45</v>
      </c>
      <c r="K77" s="1">
        <f>SalesData[[#This Row],[Quantity]]*SalesData[[#This Row],[Price]]</f>
        <v>9615</v>
      </c>
    </row>
    <row r="78" spans="1:11" x14ac:dyDescent="0.25">
      <c r="A78" s="1">
        <v>1077</v>
      </c>
      <c r="B78" s="2" t="s">
        <v>110</v>
      </c>
      <c r="C78" s="2" t="s">
        <v>31</v>
      </c>
      <c r="D78" s="2" t="s">
        <v>32</v>
      </c>
      <c r="E78" s="2" t="s">
        <v>23</v>
      </c>
      <c r="F78" s="2" t="s">
        <v>19</v>
      </c>
      <c r="G78" s="1">
        <v>2</v>
      </c>
      <c r="H78" s="1">
        <v>1477</v>
      </c>
      <c r="I78" s="3">
        <v>45715</v>
      </c>
      <c r="J78" s="2" t="s">
        <v>20</v>
      </c>
      <c r="K78" s="1">
        <f>SalesData[[#This Row],[Quantity]]*SalesData[[#This Row],[Price]]</f>
        <v>2954</v>
      </c>
    </row>
    <row r="79" spans="1:11" x14ac:dyDescent="0.25">
      <c r="A79" s="1">
        <v>1078</v>
      </c>
      <c r="B79" s="2" t="s">
        <v>111</v>
      </c>
      <c r="C79" s="2" t="s">
        <v>40</v>
      </c>
      <c r="D79" s="2" t="s">
        <v>12</v>
      </c>
      <c r="E79" s="2" t="s">
        <v>29</v>
      </c>
      <c r="F79" s="2" t="s">
        <v>14</v>
      </c>
      <c r="G79" s="1">
        <v>4</v>
      </c>
      <c r="H79" s="1">
        <v>1464</v>
      </c>
      <c r="I79" s="3">
        <v>45672</v>
      </c>
      <c r="J79" s="2" t="s">
        <v>45</v>
      </c>
      <c r="K79" s="1">
        <f>SalesData[[#This Row],[Quantity]]*SalesData[[#This Row],[Price]]</f>
        <v>5856</v>
      </c>
    </row>
    <row r="80" spans="1:11" x14ac:dyDescent="0.25">
      <c r="A80" s="1">
        <v>1079</v>
      </c>
      <c r="B80" s="2" t="s">
        <v>112</v>
      </c>
      <c r="C80" s="2" t="s">
        <v>11</v>
      </c>
      <c r="D80" s="2" t="s">
        <v>28</v>
      </c>
      <c r="E80" s="2" t="s">
        <v>29</v>
      </c>
      <c r="F80" s="2" t="s">
        <v>14</v>
      </c>
      <c r="G80" s="1">
        <v>3</v>
      </c>
      <c r="H80" s="1">
        <v>1790</v>
      </c>
      <c r="I80" s="3">
        <v>45700</v>
      </c>
      <c r="J80" s="2" t="s">
        <v>25</v>
      </c>
      <c r="K80" s="1">
        <f>SalesData[[#This Row],[Quantity]]*SalesData[[#This Row],[Price]]</f>
        <v>5370</v>
      </c>
    </row>
    <row r="81" spans="1:11" x14ac:dyDescent="0.25">
      <c r="A81" s="1">
        <v>1080</v>
      </c>
      <c r="B81" s="2" t="s">
        <v>113</v>
      </c>
      <c r="C81" s="2" t="s">
        <v>11</v>
      </c>
      <c r="D81" s="2" t="s">
        <v>28</v>
      </c>
      <c r="E81" s="2" t="s">
        <v>23</v>
      </c>
      <c r="F81" s="2" t="s">
        <v>14</v>
      </c>
      <c r="G81" s="1">
        <v>4</v>
      </c>
      <c r="H81" s="1">
        <v>1819</v>
      </c>
      <c r="I81" s="3">
        <v>45712</v>
      </c>
      <c r="J81" s="2" t="s">
        <v>15</v>
      </c>
      <c r="K81" s="1">
        <f>SalesData[[#This Row],[Quantity]]*SalesData[[#This Row],[Price]]</f>
        <v>7276</v>
      </c>
    </row>
    <row r="82" spans="1:11" x14ac:dyDescent="0.25">
      <c r="A82" s="1">
        <v>1081</v>
      </c>
      <c r="B82" s="2" t="s">
        <v>114</v>
      </c>
      <c r="C82" s="2" t="s">
        <v>40</v>
      </c>
      <c r="D82" s="2" t="s">
        <v>12</v>
      </c>
      <c r="E82" s="2" t="s">
        <v>13</v>
      </c>
      <c r="F82" s="2" t="s">
        <v>14</v>
      </c>
      <c r="G82" s="1">
        <v>5</v>
      </c>
      <c r="H82" s="1">
        <v>1579</v>
      </c>
      <c r="I82" s="3">
        <v>45721</v>
      </c>
      <c r="J82" s="2" t="s">
        <v>25</v>
      </c>
      <c r="K82" s="1">
        <f>SalesData[[#This Row],[Quantity]]*SalesData[[#This Row],[Price]]</f>
        <v>7895</v>
      </c>
    </row>
    <row r="83" spans="1:11" x14ac:dyDescent="0.25">
      <c r="A83" s="1">
        <v>1082</v>
      </c>
      <c r="B83" s="2" t="s">
        <v>115</v>
      </c>
      <c r="C83" s="2" t="s">
        <v>37</v>
      </c>
      <c r="D83" s="2" t="s">
        <v>22</v>
      </c>
      <c r="E83" s="2" t="s">
        <v>13</v>
      </c>
      <c r="F83" s="2" t="s">
        <v>19</v>
      </c>
      <c r="G83" s="1">
        <v>1</v>
      </c>
      <c r="H83" s="1">
        <v>756</v>
      </c>
      <c r="I83" s="3">
        <v>45744</v>
      </c>
      <c r="J83" s="2" t="s">
        <v>15</v>
      </c>
      <c r="K83" s="1">
        <f>SalesData[[#This Row],[Quantity]]*SalesData[[#This Row],[Price]]</f>
        <v>756</v>
      </c>
    </row>
    <row r="84" spans="1:11" x14ac:dyDescent="0.25">
      <c r="A84" s="1">
        <v>1083</v>
      </c>
      <c r="B84" s="2" t="s">
        <v>116</v>
      </c>
      <c r="C84" s="2" t="s">
        <v>37</v>
      </c>
      <c r="D84" s="2" t="s">
        <v>32</v>
      </c>
      <c r="E84" s="2" t="s">
        <v>29</v>
      </c>
      <c r="F84" s="2" t="s">
        <v>42</v>
      </c>
      <c r="G84" s="1">
        <v>3</v>
      </c>
      <c r="H84" s="1">
        <v>1165</v>
      </c>
      <c r="I84" s="3">
        <v>45724</v>
      </c>
      <c r="J84" s="2" t="s">
        <v>45</v>
      </c>
      <c r="K84" s="1">
        <f>SalesData[[#This Row],[Quantity]]*SalesData[[#This Row],[Price]]</f>
        <v>3495</v>
      </c>
    </row>
    <row r="85" spans="1:11" x14ac:dyDescent="0.25">
      <c r="A85" s="1">
        <v>1084</v>
      </c>
      <c r="B85" s="2" t="s">
        <v>117</v>
      </c>
      <c r="C85" s="2" t="s">
        <v>35</v>
      </c>
      <c r="D85" s="2" t="s">
        <v>12</v>
      </c>
      <c r="E85" s="2" t="s">
        <v>13</v>
      </c>
      <c r="F85" s="2" t="s">
        <v>33</v>
      </c>
      <c r="G85" s="1">
        <v>5</v>
      </c>
      <c r="H85" s="1">
        <v>1229</v>
      </c>
      <c r="I85" s="3">
        <v>45738</v>
      </c>
      <c r="J85" s="2" t="s">
        <v>45</v>
      </c>
      <c r="K85" s="1">
        <f>SalesData[[#This Row],[Quantity]]*SalesData[[#This Row],[Price]]</f>
        <v>6145</v>
      </c>
    </row>
    <row r="86" spans="1:11" x14ac:dyDescent="0.25">
      <c r="A86" s="1">
        <v>1085</v>
      </c>
      <c r="B86" s="2" t="s">
        <v>118</v>
      </c>
      <c r="C86" s="2" t="s">
        <v>37</v>
      </c>
      <c r="D86" s="2" t="s">
        <v>18</v>
      </c>
      <c r="E86" s="2" t="s">
        <v>13</v>
      </c>
      <c r="F86" s="2" t="s">
        <v>42</v>
      </c>
      <c r="G86" s="1">
        <v>4</v>
      </c>
      <c r="H86" s="1">
        <v>1656</v>
      </c>
      <c r="I86" s="3">
        <v>45759</v>
      </c>
      <c r="J86" s="2" t="s">
        <v>45</v>
      </c>
      <c r="K86" s="1">
        <f>SalesData[[#This Row],[Quantity]]*SalesData[[#This Row],[Price]]</f>
        <v>6624</v>
      </c>
    </row>
    <row r="87" spans="1:11" x14ac:dyDescent="0.25">
      <c r="A87" s="1">
        <v>1086</v>
      </c>
      <c r="B87" s="2" t="s">
        <v>119</v>
      </c>
      <c r="C87" s="2" t="s">
        <v>35</v>
      </c>
      <c r="D87" s="2" t="s">
        <v>18</v>
      </c>
      <c r="E87" s="2" t="s">
        <v>13</v>
      </c>
      <c r="F87" s="2" t="s">
        <v>24</v>
      </c>
      <c r="G87" s="1">
        <v>2</v>
      </c>
      <c r="H87" s="1">
        <v>950</v>
      </c>
      <c r="I87" s="3">
        <v>45755</v>
      </c>
      <c r="J87" s="2" t="s">
        <v>45</v>
      </c>
      <c r="K87" s="1">
        <f>SalesData[[#This Row],[Quantity]]*SalesData[[#This Row],[Price]]</f>
        <v>1900</v>
      </c>
    </row>
    <row r="88" spans="1:11" x14ac:dyDescent="0.25">
      <c r="A88" s="1">
        <v>1087</v>
      </c>
      <c r="B88" s="2" t="s">
        <v>120</v>
      </c>
      <c r="C88" s="2" t="s">
        <v>17</v>
      </c>
      <c r="D88" s="2" t="s">
        <v>28</v>
      </c>
      <c r="E88" s="2" t="s">
        <v>29</v>
      </c>
      <c r="F88" s="2" t="s">
        <v>42</v>
      </c>
      <c r="G88" s="1">
        <v>1</v>
      </c>
      <c r="H88" s="1">
        <v>1903</v>
      </c>
      <c r="I88" s="3">
        <v>45659</v>
      </c>
      <c r="J88" s="2" t="s">
        <v>20</v>
      </c>
      <c r="K88" s="1">
        <f>SalesData[[#This Row],[Quantity]]*SalesData[[#This Row],[Price]]</f>
        <v>1903</v>
      </c>
    </row>
    <row r="89" spans="1:11" x14ac:dyDescent="0.25">
      <c r="A89" s="1">
        <v>1088</v>
      </c>
      <c r="B89" s="2" t="s">
        <v>121</v>
      </c>
      <c r="C89" s="2" t="s">
        <v>37</v>
      </c>
      <c r="D89" s="2" t="s">
        <v>22</v>
      </c>
      <c r="E89" s="2" t="s">
        <v>23</v>
      </c>
      <c r="F89" s="2" t="s">
        <v>14</v>
      </c>
      <c r="G89" s="1">
        <v>5</v>
      </c>
      <c r="H89" s="1">
        <v>718</v>
      </c>
      <c r="I89" s="3">
        <v>45692</v>
      </c>
      <c r="J89" s="2" t="s">
        <v>45</v>
      </c>
      <c r="K89" s="1">
        <f>SalesData[[#This Row],[Quantity]]*SalesData[[#This Row],[Price]]</f>
        <v>3590</v>
      </c>
    </row>
    <row r="90" spans="1:11" x14ac:dyDescent="0.25">
      <c r="A90" s="1">
        <v>1089</v>
      </c>
      <c r="B90" s="2" t="s">
        <v>122</v>
      </c>
      <c r="C90" s="2" t="s">
        <v>11</v>
      </c>
      <c r="D90" s="2" t="s">
        <v>12</v>
      </c>
      <c r="E90" s="2" t="s">
        <v>13</v>
      </c>
      <c r="F90" s="2" t="s">
        <v>42</v>
      </c>
      <c r="G90" s="1">
        <v>3</v>
      </c>
      <c r="H90" s="1">
        <v>1249</v>
      </c>
      <c r="I90" s="3">
        <v>45669</v>
      </c>
      <c r="J90" s="2" t="s">
        <v>15</v>
      </c>
      <c r="K90" s="1">
        <f>SalesData[[#This Row],[Quantity]]*SalesData[[#This Row],[Price]]</f>
        <v>3747</v>
      </c>
    </row>
    <row r="91" spans="1:11" x14ac:dyDescent="0.25">
      <c r="A91" s="1">
        <v>1090</v>
      </c>
      <c r="B91" s="2" t="s">
        <v>123</v>
      </c>
      <c r="C91" s="2" t="s">
        <v>11</v>
      </c>
      <c r="D91" s="2" t="s">
        <v>18</v>
      </c>
      <c r="E91" s="2" t="s">
        <v>13</v>
      </c>
      <c r="F91" s="2" t="s">
        <v>42</v>
      </c>
      <c r="G91" s="1">
        <v>3</v>
      </c>
      <c r="H91" s="1">
        <v>887</v>
      </c>
      <c r="I91" s="3">
        <v>45705</v>
      </c>
      <c r="J91" s="2" t="s">
        <v>15</v>
      </c>
      <c r="K91" s="1">
        <f>SalesData[[#This Row],[Quantity]]*SalesData[[#This Row],[Price]]</f>
        <v>2661</v>
      </c>
    </row>
    <row r="92" spans="1:11" x14ac:dyDescent="0.25">
      <c r="A92" s="1">
        <v>1091</v>
      </c>
      <c r="B92" s="2" t="s">
        <v>124</v>
      </c>
      <c r="C92" s="2" t="s">
        <v>31</v>
      </c>
      <c r="D92" s="2" t="s">
        <v>28</v>
      </c>
      <c r="E92" s="2" t="s">
        <v>13</v>
      </c>
      <c r="F92" s="2" t="s">
        <v>33</v>
      </c>
      <c r="G92" s="1">
        <v>5</v>
      </c>
      <c r="H92" s="1">
        <v>1357</v>
      </c>
      <c r="I92" s="3">
        <v>45738</v>
      </c>
      <c r="J92" s="2" t="s">
        <v>20</v>
      </c>
      <c r="K92" s="1">
        <f>SalesData[[#This Row],[Quantity]]*SalesData[[#This Row],[Price]]</f>
        <v>6785</v>
      </c>
    </row>
    <row r="93" spans="1:11" x14ac:dyDescent="0.25">
      <c r="A93" s="1">
        <v>1092</v>
      </c>
      <c r="B93" s="2" t="s">
        <v>125</v>
      </c>
      <c r="C93" s="2" t="s">
        <v>31</v>
      </c>
      <c r="D93" s="2" t="s">
        <v>22</v>
      </c>
      <c r="E93" s="2" t="s">
        <v>13</v>
      </c>
      <c r="F93" s="2" t="s">
        <v>42</v>
      </c>
      <c r="G93" s="1">
        <v>3</v>
      </c>
      <c r="H93" s="1">
        <v>1361</v>
      </c>
      <c r="I93" s="3">
        <v>45698</v>
      </c>
      <c r="J93" s="2" t="s">
        <v>25</v>
      </c>
      <c r="K93" s="1">
        <f>SalesData[[#This Row],[Quantity]]*SalesData[[#This Row],[Price]]</f>
        <v>4083</v>
      </c>
    </row>
    <row r="94" spans="1:11" x14ac:dyDescent="0.25">
      <c r="A94" s="1">
        <v>1093</v>
      </c>
      <c r="B94" s="2" t="s">
        <v>126</v>
      </c>
      <c r="C94" s="2" t="s">
        <v>37</v>
      </c>
      <c r="D94" s="2" t="s">
        <v>18</v>
      </c>
      <c r="E94" s="2" t="s">
        <v>13</v>
      </c>
      <c r="F94" s="2" t="s">
        <v>24</v>
      </c>
      <c r="G94" s="1">
        <v>3</v>
      </c>
      <c r="H94" s="1">
        <v>1971</v>
      </c>
      <c r="I94" s="3">
        <v>45677</v>
      </c>
      <c r="J94" s="2" t="s">
        <v>25</v>
      </c>
      <c r="K94" s="1">
        <f>SalesData[[#This Row],[Quantity]]*SalesData[[#This Row],[Price]]</f>
        <v>5913</v>
      </c>
    </row>
    <row r="95" spans="1:11" x14ac:dyDescent="0.25">
      <c r="A95" s="1">
        <v>1094</v>
      </c>
      <c r="B95" s="2" t="s">
        <v>127</v>
      </c>
      <c r="C95" s="2" t="s">
        <v>11</v>
      </c>
      <c r="D95" s="2" t="s">
        <v>22</v>
      </c>
      <c r="E95" s="2" t="s">
        <v>23</v>
      </c>
      <c r="F95" s="2" t="s">
        <v>42</v>
      </c>
      <c r="G95" s="1">
        <v>1</v>
      </c>
      <c r="H95" s="1">
        <v>1622</v>
      </c>
      <c r="I95" s="3">
        <v>45738</v>
      </c>
      <c r="J95" s="2" t="s">
        <v>25</v>
      </c>
      <c r="K95" s="1">
        <f>SalesData[[#This Row],[Quantity]]*SalesData[[#This Row],[Price]]</f>
        <v>1622</v>
      </c>
    </row>
    <row r="96" spans="1:11" x14ac:dyDescent="0.25">
      <c r="A96" s="1">
        <v>1095</v>
      </c>
      <c r="B96" s="2" t="s">
        <v>128</v>
      </c>
      <c r="C96" s="2" t="s">
        <v>17</v>
      </c>
      <c r="D96" s="2" t="s">
        <v>12</v>
      </c>
      <c r="E96" s="2" t="s">
        <v>29</v>
      </c>
      <c r="F96" s="2" t="s">
        <v>42</v>
      </c>
      <c r="G96" s="1">
        <v>4</v>
      </c>
      <c r="H96" s="1">
        <v>1388</v>
      </c>
      <c r="I96" s="3">
        <v>45663</v>
      </c>
      <c r="J96" s="2" t="s">
        <v>25</v>
      </c>
      <c r="K96" s="1">
        <f>SalesData[[#This Row],[Quantity]]*SalesData[[#This Row],[Price]]</f>
        <v>5552</v>
      </c>
    </row>
    <row r="97" spans="1:11" x14ac:dyDescent="0.25">
      <c r="A97" s="1">
        <v>1096</v>
      </c>
      <c r="B97" s="2" t="s">
        <v>129</v>
      </c>
      <c r="C97" s="2" t="s">
        <v>31</v>
      </c>
      <c r="D97" s="2" t="s">
        <v>32</v>
      </c>
      <c r="E97" s="2" t="s">
        <v>13</v>
      </c>
      <c r="F97" s="2" t="s">
        <v>19</v>
      </c>
      <c r="G97" s="1">
        <v>1</v>
      </c>
      <c r="H97" s="1">
        <v>1743</v>
      </c>
      <c r="I97" s="3">
        <v>45725</v>
      </c>
      <c r="J97" s="2" t="s">
        <v>25</v>
      </c>
      <c r="K97" s="1">
        <f>SalesData[[#This Row],[Quantity]]*SalesData[[#This Row],[Price]]</f>
        <v>1743</v>
      </c>
    </row>
    <row r="98" spans="1:11" x14ac:dyDescent="0.25">
      <c r="A98" s="1">
        <v>1097</v>
      </c>
      <c r="B98" s="2" t="s">
        <v>130</v>
      </c>
      <c r="C98" s="2" t="s">
        <v>37</v>
      </c>
      <c r="D98" s="2" t="s">
        <v>22</v>
      </c>
      <c r="E98" s="2" t="s">
        <v>23</v>
      </c>
      <c r="F98" s="2" t="s">
        <v>42</v>
      </c>
      <c r="G98" s="1">
        <v>3</v>
      </c>
      <c r="H98" s="1">
        <v>1671</v>
      </c>
      <c r="I98" s="3">
        <v>45696</v>
      </c>
      <c r="J98" s="2" t="s">
        <v>25</v>
      </c>
      <c r="K98" s="1">
        <f>SalesData[[#This Row],[Quantity]]*SalesData[[#This Row],[Price]]</f>
        <v>5013</v>
      </c>
    </row>
    <row r="99" spans="1:11" x14ac:dyDescent="0.25">
      <c r="A99" s="1">
        <v>1098</v>
      </c>
      <c r="B99" s="2" t="s">
        <v>131</v>
      </c>
      <c r="C99" s="2" t="s">
        <v>37</v>
      </c>
      <c r="D99" s="2" t="s">
        <v>22</v>
      </c>
      <c r="E99" s="2" t="s">
        <v>23</v>
      </c>
      <c r="F99" s="2" t="s">
        <v>42</v>
      </c>
      <c r="G99" s="1">
        <v>4</v>
      </c>
      <c r="H99" s="1">
        <v>1125</v>
      </c>
      <c r="I99" s="3">
        <v>45665</v>
      </c>
      <c r="J99" s="2" t="s">
        <v>15</v>
      </c>
      <c r="K99" s="1">
        <f>SalesData[[#This Row],[Quantity]]*SalesData[[#This Row],[Price]]</f>
        <v>4500</v>
      </c>
    </row>
    <row r="100" spans="1:11" x14ac:dyDescent="0.25">
      <c r="A100" s="1">
        <v>1099</v>
      </c>
      <c r="B100" s="2" t="s">
        <v>132</v>
      </c>
      <c r="C100" s="2" t="s">
        <v>35</v>
      </c>
      <c r="D100" s="2" t="s">
        <v>22</v>
      </c>
      <c r="E100" s="2" t="s">
        <v>23</v>
      </c>
      <c r="F100" s="2" t="s">
        <v>14</v>
      </c>
      <c r="G100" s="1">
        <v>5</v>
      </c>
      <c r="H100" s="1">
        <v>1540</v>
      </c>
      <c r="I100" s="3">
        <v>45692</v>
      </c>
      <c r="J100" s="2" t="s">
        <v>15</v>
      </c>
      <c r="K100" s="1">
        <f>SalesData[[#This Row],[Quantity]]*SalesData[[#This Row],[Price]]</f>
        <v>7700</v>
      </c>
    </row>
    <row r="101" spans="1:11" x14ac:dyDescent="0.25">
      <c r="A101" s="1">
        <v>1100</v>
      </c>
      <c r="B101" s="2" t="s">
        <v>133</v>
      </c>
      <c r="C101" s="2" t="s">
        <v>37</v>
      </c>
      <c r="D101" s="2" t="s">
        <v>28</v>
      </c>
      <c r="E101" s="2" t="s">
        <v>23</v>
      </c>
      <c r="F101" s="2" t="s">
        <v>19</v>
      </c>
      <c r="G101" s="1">
        <v>3</v>
      </c>
      <c r="H101" s="1">
        <v>1549</v>
      </c>
      <c r="I101" s="3">
        <v>45744</v>
      </c>
      <c r="J101" s="2" t="s">
        <v>15</v>
      </c>
      <c r="K101" s="1">
        <f>SalesData[[#This Row],[Quantity]]*SalesData[[#This Row],[Price]]</f>
        <v>4647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4106-478E-4DCC-97B2-E5E2993A3E01}">
  <dimension ref="A3:G31"/>
  <sheetViews>
    <sheetView topLeftCell="A22" zoomScale="85" zoomScaleNormal="85" workbookViewId="0">
      <selection activeCell="A47" sqref="A47"/>
    </sheetView>
  </sheetViews>
  <sheetFormatPr defaultRowHeight="15" x14ac:dyDescent="0.25"/>
  <cols>
    <col min="1" max="1" width="16" style="1" bestFit="1" customWidth="1"/>
    <col min="2" max="2" width="15.5703125" style="1" bestFit="1" customWidth="1"/>
    <col min="3" max="5" width="9.140625" style="1"/>
    <col min="6" max="6" width="15.42578125" style="1" bestFit="1" customWidth="1"/>
    <col min="7" max="7" width="15.5703125" style="1" bestFit="1" customWidth="1"/>
    <col min="8" max="16384" width="9.140625" style="1"/>
  </cols>
  <sheetData>
    <row r="3" spans="1:7" x14ac:dyDescent="0.25">
      <c r="A3" s="4" t="s">
        <v>136</v>
      </c>
      <c r="B3" s="1" t="s">
        <v>135</v>
      </c>
      <c r="F3" s="4" t="s">
        <v>136</v>
      </c>
      <c r="G3" s="1" t="s">
        <v>143</v>
      </c>
    </row>
    <row r="4" spans="1:7" x14ac:dyDescent="0.25">
      <c r="A4" s="1" t="s">
        <v>18</v>
      </c>
      <c r="B4" s="2">
        <v>63491</v>
      </c>
      <c r="F4" s="1" t="s">
        <v>45</v>
      </c>
      <c r="G4" s="2">
        <v>69</v>
      </c>
    </row>
    <row r="5" spans="1:7" x14ac:dyDescent="0.25">
      <c r="A5" s="1" t="s">
        <v>12</v>
      </c>
      <c r="B5" s="2">
        <v>90268</v>
      </c>
      <c r="F5" s="1" t="s">
        <v>25</v>
      </c>
      <c r="G5" s="2">
        <v>76</v>
      </c>
    </row>
    <row r="6" spans="1:7" x14ac:dyDescent="0.25">
      <c r="A6" s="1" t="s">
        <v>44</v>
      </c>
      <c r="B6" s="2">
        <v>54185</v>
      </c>
      <c r="F6" s="1" t="s">
        <v>15</v>
      </c>
      <c r="G6" s="2">
        <v>133</v>
      </c>
    </row>
    <row r="7" spans="1:7" x14ac:dyDescent="0.25">
      <c r="A7" s="1" t="s">
        <v>32</v>
      </c>
      <c r="B7" s="2">
        <v>105490</v>
      </c>
      <c r="F7" s="1" t="s">
        <v>20</v>
      </c>
      <c r="G7" s="2">
        <v>55</v>
      </c>
    </row>
    <row r="8" spans="1:7" x14ac:dyDescent="0.25">
      <c r="A8" s="1" t="s">
        <v>28</v>
      </c>
      <c r="B8" s="2">
        <v>79943</v>
      </c>
      <c r="F8" s="1" t="s">
        <v>137</v>
      </c>
      <c r="G8" s="2">
        <v>333</v>
      </c>
    </row>
    <row r="9" spans="1:7" x14ac:dyDescent="0.25">
      <c r="A9" s="1" t="s">
        <v>22</v>
      </c>
      <c r="B9" s="2">
        <v>101076</v>
      </c>
    </row>
    <row r="10" spans="1:7" x14ac:dyDescent="0.25">
      <c r="A10" s="1" t="s">
        <v>137</v>
      </c>
      <c r="B10" s="2">
        <v>494453</v>
      </c>
    </row>
    <row r="14" spans="1:7" x14ac:dyDescent="0.25">
      <c r="A14" s="4" t="s">
        <v>136</v>
      </c>
      <c r="B14" s="1" t="s">
        <v>135</v>
      </c>
      <c r="F14" s="1" t="s">
        <v>143</v>
      </c>
      <c r="G14" s="1" t="s">
        <v>135</v>
      </c>
    </row>
    <row r="15" spans="1:7" x14ac:dyDescent="0.25">
      <c r="A15" s="1" t="s">
        <v>17</v>
      </c>
      <c r="B15" s="2">
        <v>84091</v>
      </c>
      <c r="F15" s="2">
        <v>333</v>
      </c>
      <c r="G15" s="2">
        <v>494453</v>
      </c>
    </row>
    <row r="16" spans="1:7" x14ac:dyDescent="0.25">
      <c r="A16" s="1" t="s">
        <v>35</v>
      </c>
      <c r="B16" s="2">
        <v>53334</v>
      </c>
    </row>
    <row r="17" spans="1:2" x14ac:dyDescent="0.25">
      <c r="A17" s="1" t="s">
        <v>40</v>
      </c>
      <c r="B17" s="2">
        <v>46610</v>
      </c>
    </row>
    <row r="18" spans="1:2" x14ac:dyDescent="0.25">
      <c r="A18" s="1" t="s">
        <v>31</v>
      </c>
      <c r="B18" s="2">
        <v>77898</v>
      </c>
    </row>
    <row r="19" spans="1:2" x14ac:dyDescent="0.25">
      <c r="A19" s="1" t="s">
        <v>37</v>
      </c>
      <c r="B19" s="2">
        <v>117705</v>
      </c>
    </row>
    <row r="20" spans="1:2" x14ac:dyDescent="0.25">
      <c r="A20" s="1" t="s">
        <v>11</v>
      </c>
      <c r="B20" s="2">
        <v>114815</v>
      </c>
    </row>
    <row r="21" spans="1:2" x14ac:dyDescent="0.25">
      <c r="A21" s="1" t="s">
        <v>137</v>
      </c>
      <c r="B21" s="2">
        <v>494453</v>
      </c>
    </row>
    <row r="25" spans="1:2" x14ac:dyDescent="0.25">
      <c r="A25" s="4" t="s">
        <v>136</v>
      </c>
      <c r="B25" s="1" t="s">
        <v>135</v>
      </c>
    </row>
    <row r="26" spans="1:2" x14ac:dyDescent="0.25">
      <c r="A26" s="1" t="s">
        <v>138</v>
      </c>
      <c r="B26" s="2">
        <v>160408</v>
      </c>
    </row>
    <row r="27" spans="1:2" x14ac:dyDescent="0.25">
      <c r="A27" s="1" t="s">
        <v>139</v>
      </c>
      <c r="B27" s="2">
        <v>103194</v>
      </c>
    </row>
    <row r="28" spans="1:2" x14ac:dyDescent="0.25">
      <c r="A28" s="1" t="s">
        <v>140</v>
      </c>
      <c r="B28" s="2">
        <v>116740</v>
      </c>
    </row>
    <row r="29" spans="1:2" x14ac:dyDescent="0.25">
      <c r="A29" s="1" t="s">
        <v>141</v>
      </c>
      <c r="B29" s="2">
        <v>99945</v>
      </c>
    </row>
    <row r="30" spans="1:2" x14ac:dyDescent="0.25">
      <c r="A30" s="1" t="s">
        <v>142</v>
      </c>
      <c r="B30" s="2">
        <v>14166</v>
      </c>
    </row>
    <row r="31" spans="1:2" x14ac:dyDescent="0.25">
      <c r="A31" s="1" t="s">
        <v>137</v>
      </c>
      <c r="B31" s="2">
        <v>494453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F10E-A3BD-48A2-A04A-0B9F98980295}">
  <dimension ref="Q4:S11"/>
  <sheetViews>
    <sheetView showGridLines="0" tabSelected="1" zoomScaleNormal="100" workbookViewId="0">
      <selection activeCell="R25" sqref="R25"/>
    </sheetView>
  </sheetViews>
  <sheetFormatPr defaultRowHeight="15" x14ac:dyDescent="0.25"/>
  <cols>
    <col min="17" max="17" width="34.28515625" customWidth="1"/>
    <col min="18" max="18" width="35.140625" customWidth="1"/>
  </cols>
  <sheetData>
    <row r="4" spans="17:19" x14ac:dyDescent="0.25">
      <c r="R4" s="5"/>
      <c r="S4" s="5"/>
    </row>
    <row r="5" spans="17:19" x14ac:dyDescent="0.25">
      <c r="Q5" s="5"/>
      <c r="R5" s="5"/>
      <c r="S5" s="5"/>
    </row>
    <row r="6" spans="17:19" x14ac:dyDescent="0.25">
      <c r="S6" s="5"/>
    </row>
    <row r="7" spans="17:19" ht="15.75" thickBot="1" x14ac:dyDescent="0.3">
      <c r="S7" s="5"/>
    </row>
    <row r="8" spans="17:19" ht="36.75" thickBot="1" x14ac:dyDescent="0.3">
      <c r="Q8" s="8" t="s">
        <v>144</v>
      </c>
      <c r="R8" s="7">
        <f>GETPIVOTDATA("[Measures].[Sum of Revenue]",Pivot!$F$14)</f>
        <v>494453</v>
      </c>
      <c r="S8" s="5"/>
    </row>
    <row r="9" spans="17:19" ht="36.75" thickBot="1" x14ac:dyDescent="0.3">
      <c r="Q9" s="6" t="s">
        <v>145</v>
      </c>
      <c r="R9" s="7">
        <f>GETPIVOTDATA("[Measures].[Sum of Quantity]",Pivot!$F$14)</f>
        <v>333</v>
      </c>
      <c r="S9" s="5"/>
    </row>
    <row r="10" spans="17:19" x14ac:dyDescent="0.25">
      <c r="Q10" s="5"/>
      <c r="R10" s="5"/>
      <c r="S10" s="5"/>
    </row>
    <row r="11" spans="17:19" x14ac:dyDescent="0.25">
      <c r="Q11" s="5"/>
      <c r="R11" s="5"/>
      <c r="S11"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0A6CD9-6879-4B8B-B635-FF6182EFEF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iphone_sales_dataset</vt:lpstr>
      <vt:lpstr>Pivot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f-moharami</dc:creator>
  <cp:lastModifiedBy>farzad moharami jenab</cp:lastModifiedBy>
  <dcterms:created xsi:type="dcterms:W3CDTF">2015-06-05T18:17:20Z</dcterms:created>
  <dcterms:modified xsi:type="dcterms:W3CDTF">2026-06-11T06:27:07Z</dcterms:modified>
</cp:coreProperties>
</file>